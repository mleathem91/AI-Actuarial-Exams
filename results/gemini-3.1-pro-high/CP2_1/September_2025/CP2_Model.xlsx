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Calculations" sheetId="2" state="visible" r:id="rId2"/>
    <sheet name="Summary by Age" sheetId="3" state="visible" r:id="rId3"/>
    <sheet name="Checks and Equ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0" fontId="2" fillId="0" borderId="0" pivotButton="0" quotePrefix="0" xfId="0"/>
    <xf numFmtId="2" fontId="2" fillId="0" borderId="0" pivotButton="0" quotePrefix="0" xfId="0"/>
    <xf numFmtId="4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Starting Contributions vs Age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by Age'!C1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Age'!$C$2:$C$44</f>
            </numRef>
          </val>
        </ser>
        <ser>
          <idx val="1"/>
          <order val="1"/>
          <tx>
            <strRef>
              <f>'Summary by Age'!D1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Age'!$D$2:$D$44</f>
            </numRef>
          </val>
        </ser>
        <ser>
          <idx val="2"/>
          <order val="2"/>
          <tx>
            <strRef>
              <f>'Summary by Age'!E1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Age'!$E$2:$E$44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Current 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Salary Increases vs Age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by Age'!F1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Age'!$F$2:$F$44</f>
            </numRef>
          </val>
        </ser>
        <ser>
          <idx val="1"/>
          <order val="1"/>
          <tx>
            <strRef>
              <f>'Summary by Age'!G1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Age'!$G$2:$G$44</f>
            </numRef>
          </val>
        </ser>
        <ser>
          <idx val="2"/>
          <order val="2"/>
          <tx>
            <strRef>
              <f>'Summary by Age'!H1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Age'!$H$2:$H$44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Current 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Age at Death vs Age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by Age'!I1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Age'!$I$2:$I$44</f>
            </numRef>
          </val>
        </ser>
        <ser>
          <idx val="1"/>
          <order val="1"/>
          <tx>
            <strRef>
              <f>'Summary by Age'!J1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Age'!$J$2:$J$44</f>
            </numRef>
          </val>
        </ser>
        <ser>
          <idx val="2"/>
          <order val="2"/>
          <tx>
            <strRef>
              <f>'Summary by Age'!K1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Age'!$K$2:$K$44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Current 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Equivalent Annuity Factor vs Age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by Age'!L1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Age'!$L$2:$L$44</f>
            </numRef>
          </val>
        </ser>
        <ser>
          <idx val="1"/>
          <order val="1"/>
          <tx>
            <strRef>
              <f>'Summary by Age'!M1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Age'!$M$2:$M$44</f>
            </numRef>
          </val>
        </ser>
        <ser>
          <idx val="2"/>
          <order val="2"/>
          <tx>
            <strRef>
              <f>'Summary by Age'!N1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 by Age'!$A$2:$A$44</f>
            </numRef>
          </cat>
          <val>
            <numRef>
              <f>'Summary by Age'!$N$2:$N$44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Current 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Symbol</t>
        </is>
      </c>
    </row>
    <row r="2">
      <c r="A2" t="inlineStr">
        <is>
          <t>Retirement Age</t>
        </is>
      </c>
      <c r="B2" s="2" t="n">
        <v>65</v>
      </c>
      <c r="C2" t="inlineStr">
        <is>
          <t>Age at which pension starts</t>
        </is>
      </c>
      <c r="D2" t="inlineStr">
        <is>
          <t>R</t>
        </is>
      </c>
    </row>
    <row r="3">
      <c r="A3" t="inlineStr">
        <is>
          <t>Contribution Rate</t>
        </is>
      </c>
      <c r="B3" s="3" t="n">
        <v>0.1</v>
      </c>
      <c r="C3" t="inlineStr">
        <is>
          <t>Percentage of salary</t>
        </is>
      </c>
      <c r="D3" t="inlineStr">
        <is>
          <t>CR</t>
        </is>
      </c>
    </row>
    <row r="4">
      <c r="A4" t="inlineStr">
        <is>
          <t>Expense Charge</t>
        </is>
      </c>
      <c r="B4" s="4" t="n">
        <v>0.03</v>
      </c>
      <c r="C4" t="inlineStr">
        <is>
          <t>Deduction from contribution</t>
        </is>
      </c>
      <c r="D4" t="inlineStr">
        <is>
          <t>c</t>
        </is>
      </c>
    </row>
    <row r="5">
      <c r="A5" t="inlineStr">
        <is>
          <t>Investment Return</t>
        </is>
      </c>
      <c r="B5" s="3" t="n">
        <v>0.07000000000000001</v>
      </c>
      <c r="C5" t="inlineStr">
        <is>
          <t>Long-term investment return p.a.</t>
        </is>
      </c>
      <c r="D5" t="inlineStr">
        <is>
          <t>i</t>
        </is>
      </c>
    </row>
    <row r="6">
      <c r="A6" t="inlineStr">
        <is>
          <t>Dummy Accrual</t>
        </is>
      </c>
      <c r="B6" s="4" t="n">
        <v>90</v>
      </c>
      <c r="C6" t="inlineStr">
        <is>
          <t>Dummy accrual for intermediate valuation</t>
        </is>
      </c>
      <c r="D6" t="inlineStr">
        <is>
          <t>A_dummy</t>
        </is>
      </c>
    </row>
    <row r="7">
      <c r="A7" t="inlineStr">
        <is>
          <t>Contingency Margin</t>
        </is>
      </c>
      <c r="B7" s="3" t="n">
        <v>0.2</v>
      </c>
      <c r="C7" t="inlineStr">
        <is>
          <t>For single accrual equation of value</t>
        </is>
      </c>
      <c r="D7" t="inlineStr">
        <is>
          <t>margin</t>
        </is>
      </c>
    </row>
    <row r="8">
      <c r="A8" t="inlineStr">
        <is>
          <t>Accrued Target</t>
        </is>
      </c>
      <c r="B8" s="4" t="n">
        <v>0.8</v>
      </c>
      <c r="C8" t="inlineStr">
        <is>
          <t>1 - margin</t>
        </is>
      </c>
      <c r="D8" t="inlineStr">
        <is>
          <t>acc_target</t>
        </is>
      </c>
    </row>
    <row r="9">
      <c r="A9" t="inlineStr">
        <is>
          <t>Actual Accrual Rate</t>
        </is>
      </c>
      <c r="B9" s="3" t="n">
        <v>81.92158605420643</v>
      </c>
      <c r="C9" t="inlineStr">
        <is>
          <t>Solved from Eq of Value=0.8</t>
        </is>
      </c>
      <c r="D9" t="inlineStr">
        <is>
          <t>A</t>
        </is>
      </c>
    </row>
    <row r="10">
      <c r="A10" t="inlineStr">
        <is>
          <t>Pension Increase Rate</t>
        </is>
      </c>
      <c r="B10" s="3" t="n">
        <v>0.02951289112294242</v>
      </c>
      <c r="C10" t="inlineStr">
        <is>
          <t>Solved for 0 surplus</t>
        </is>
      </c>
      <c r="D10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Age</t>
        </is>
      </c>
      <c r="C1" s="1" t="inlineStr">
        <is>
          <t>Contrib C0</t>
        </is>
      </c>
      <c r="D1" s="1" t="inlineStr">
        <is>
          <t>Salary Incr s</t>
        </is>
      </c>
      <c r="E1" s="1" t="inlineStr">
        <is>
          <t>Death Age d</t>
        </is>
      </c>
      <c r="F1" s="1" t="inlineStr">
        <is>
          <t>Salary S0</t>
        </is>
      </c>
      <c r="G1" s="1" t="inlineStr">
        <is>
          <t>Term n</t>
        </is>
      </c>
      <c r="H1" s="1" t="inlineStr">
        <is>
          <t>End Age</t>
        </is>
      </c>
      <c r="I1" s="1" t="inlineStr">
        <is>
          <t>Final Salary</t>
        </is>
      </c>
      <c r="J1" s="1" t="inlineStr">
        <is>
          <t>Ratio geom</t>
        </is>
      </c>
      <c r="K1" s="1" t="inlineStr">
        <is>
          <t>PV Gross Contrib t=0</t>
        </is>
      </c>
      <c r="L1" s="1" t="inlineStr">
        <is>
          <t>PV Net Contrib t=0</t>
        </is>
      </c>
      <c r="M1" s="1" t="inlineStr">
        <is>
          <t>Accum Val End</t>
        </is>
      </c>
      <c r="N1" s="1" t="inlineStr">
        <is>
          <t>Dummy Pens</t>
        </is>
      </c>
      <c r="O1" s="1" t="inlineStr">
        <is>
          <t>PV Pens@65 (Dum)</t>
        </is>
      </c>
      <c r="P1" s="1" t="inlineStr">
        <is>
          <t>PV Pens@0 (Dum)</t>
        </is>
      </c>
      <c r="Q1" s="1" t="inlineStr">
        <is>
          <t>PV DeathLump@0 (Dum)</t>
        </is>
      </c>
      <c r="R1" s="1" t="inlineStr">
        <is>
          <t>PV AccumFund@0</t>
        </is>
      </c>
      <c r="S1" s="1" t="inlineStr">
        <is>
          <t>Target Pens</t>
        </is>
      </c>
      <c r="T1" s="1" t="inlineStr">
        <is>
          <t>Total Dum PV@0</t>
        </is>
      </c>
      <c r="U1" s="1" t="inlineStr">
        <is>
          <t>PV Incr Pens@65</t>
        </is>
      </c>
      <c r="V1" s="1" t="inlineStr">
        <is>
          <t>PV Incr Pens@0</t>
        </is>
      </c>
      <c r="W1" s="1" t="inlineStr">
        <is>
          <t>PV Fix Death@0</t>
        </is>
      </c>
      <c r="X1" s="1" t="inlineStr">
        <is>
          <t>Total Target PV@0</t>
        </is>
      </c>
      <c r="Y1" s="1" t="inlineStr">
        <is>
          <t>Annuity Factor</t>
        </is>
      </c>
    </row>
    <row r="2">
      <c r="A2" t="n">
        <v>1</v>
      </c>
      <c r="B2" t="n">
        <v>54</v>
      </c>
      <c r="C2" s="5" t="n">
        <v>1370</v>
      </c>
      <c r="D2" t="n">
        <v>0.0334</v>
      </c>
      <c r="E2" t="n">
        <v>81</v>
      </c>
      <c r="F2" s="5" t="n">
        <v>13700</v>
      </c>
      <c r="G2">
        <f>MIN(65-B2, MAX(0, E2-B2))</f>
        <v/>
      </c>
      <c r="H2">
        <f>B2+G2</f>
        <v/>
      </c>
      <c r="I2" s="5">
        <f>F2*(1+D2)^G2</f>
        <v/>
      </c>
      <c r="J2">
        <f>(1+D2)/(1+Parameters!$B$5)</f>
        <v/>
      </c>
      <c r="K2" s="5">
        <f>IF(G2&gt;0, IF(ROUND(J2, 6)=1, G2 * C2 * (1+Parameters!$B$5)^-0.5, C2 * (1-J2^G2)/(1-J2) * (1+Parameters!$B$5)^-0.5), 0)</f>
        <v/>
      </c>
      <c r="L2" s="5">
        <f>K2*(1-Parameters!$B$4)</f>
        <v/>
      </c>
      <c r="M2" s="5">
        <f>L2*(1+Parameters!$B$5)^G2</f>
        <v/>
      </c>
      <c r="N2" s="5">
        <f>IF(E2&gt;=65, (65-B2)*I2/Parameters!$B$6, 0)</f>
        <v/>
      </c>
      <c r="O2">
        <f>IF(E2&gt;65, (1-(1+Parameters!$B$5)^-(E2-65))/Parameters!$B$5, 0)</f>
        <v/>
      </c>
      <c r="P2" s="5">
        <f>N2 * O2 * (1+Parameters!$B$5)^-(65-B2)</f>
        <v/>
      </c>
      <c r="Q2" s="5">
        <f>IF(AND(E2&gt;=66, E2&lt;=69), 5*N2*(1+Parameters!$B$5)^-(E2-B2), 0)</f>
        <v/>
      </c>
      <c r="R2" s="5">
        <f>IF(E2&lt;=65, L2, 0)</f>
        <v/>
      </c>
      <c r="S2" s="5">
        <f>N2 * (Parameters!$B$6 / Parameters!$B$9)</f>
        <v/>
      </c>
      <c r="T2" s="5">
        <f>P2 + Q2</f>
        <v/>
      </c>
      <c r="U2">
        <f>IF(E2&gt;65, (1-((1+Parameters!$B$10)/(1+Parameters!$B$5))^(E2-65))/(((1+Parameters!$B$5)/(1+Parameters!$B$10))-1), 0)</f>
        <v/>
      </c>
      <c r="V2" s="5">
        <f>S2 * U2 * (1+Parameters!$B$5)^-(65-B2)</f>
        <v/>
      </c>
      <c r="W2" s="5">
        <f>IF(AND(E2&gt;=66, E2&lt;=69), 5*S2*(1+Parameters!$B$5)^-(E2-B2), 0)</f>
        <v/>
      </c>
      <c r="X2" s="5">
        <f>V2 + W2 + R2</f>
        <v/>
      </c>
      <c r="Y2" s="5">
        <f>IF(E2&gt;=65, M2/S2, "")</f>
        <v/>
      </c>
    </row>
    <row r="3">
      <c r="A3" t="n">
        <v>2</v>
      </c>
      <c r="B3" t="n">
        <v>21</v>
      </c>
      <c r="C3" s="5" t="n">
        <v>2880</v>
      </c>
      <c r="D3" t="n">
        <v>0.0256</v>
      </c>
      <c r="E3" t="n">
        <v>87</v>
      </c>
      <c r="F3" s="5" t="n">
        <v>28800</v>
      </c>
      <c r="G3">
        <f>MIN(65-B3, MAX(0, E3-B3))</f>
        <v/>
      </c>
      <c r="H3">
        <f>B3+G3</f>
        <v/>
      </c>
      <c r="I3" s="5">
        <f>F3*(1+D3)^G3</f>
        <v/>
      </c>
      <c r="J3">
        <f>(1+D3)/(1+Parameters!$B$5)</f>
        <v/>
      </c>
      <c r="K3" s="5">
        <f>IF(G3&gt;0, IF(ROUND(J3, 6)=1, G3 * C3 * (1+Parameters!$B$5)^-0.5, C3 * (1-J3^G3)/(1-J3) * (1+Parameters!$B$5)^-0.5), 0)</f>
        <v/>
      </c>
      <c r="L3" s="5">
        <f>K3*(1-Parameters!$B$4)</f>
        <v/>
      </c>
      <c r="M3" s="5">
        <f>L3*(1+Parameters!$B$5)^G3</f>
        <v/>
      </c>
      <c r="N3" s="5">
        <f>IF(E3&gt;=65, (65-B3)*I3/Parameters!$B$6, 0)</f>
        <v/>
      </c>
      <c r="O3">
        <f>IF(E3&gt;65, (1-(1+Parameters!$B$5)^-(E3-65))/Parameters!$B$5, 0)</f>
        <v/>
      </c>
      <c r="P3" s="5">
        <f>N3 * O3 * (1+Parameters!$B$5)^-(65-B3)</f>
        <v/>
      </c>
      <c r="Q3" s="5">
        <f>IF(AND(E3&gt;=66, E3&lt;=69), 5*N3*(1+Parameters!$B$5)^-(E3-B3), 0)</f>
        <v/>
      </c>
      <c r="R3" s="5">
        <f>IF(E3&lt;=65, L3, 0)</f>
        <v/>
      </c>
      <c r="S3" s="5">
        <f>N3 * (Parameters!$B$6 / Parameters!$B$9)</f>
        <v/>
      </c>
      <c r="T3" s="5">
        <f>P3 + Q3</f>
        <v/>
      </c>
      <c r="U3">
        <f>IF(E3&gt;65, (1-((1+Parameters!$B$10)/(1+Parameters!$B$5))^(E3-65))/(((1+Parameters!$B$5)/(1+Parameters!$B$10))-1), 0)</f>
        <v/>
      </c>
      <c r="V3" s="5">
        <f>S3 * U3 * (1+Parameters!$B$5)^-(65-B3)</f>
        <v/>
      </c>
      <c r="W3" s="5">
        <f>IF(AND(E3&gt;=66, E3&lt;=69), 5*S3*(1+Parameters!$B$5)^-(E3-B3), 0)</f>
        <v/>
      </c>
      <c r="X3" s="5">
        <f>V3 + W3 + R3</f>
        <v/>
      </c>
      <c r="Y3" s="5">
        <f>IF(E3&gt;=65, M3/S3, "")</f>
        <v/>
      </c>
    </row>
    <row r="4">
      <c r="A4" t="n">
        <v>3</v>
      </c>
      <c r="B4" t="n">
        <v>28</v>
      </c>
      <c r="C4" s="5" t="n">
        <v>3930</v>
      </c>
      <c r="D4" t="n">
        <v>0.0536</v>
      </c>
      <c r="E4" t="n">
        <v>85</v>
      </c>
      <c r="F4" s="5" t="n">
        <v>39300</v>
      </c>
      <c r="G4">
        <f>MIN(65-B4, MAX(0, E4-B4))</f>
        <v/>
      </c>
      <c r="H4">
        <f>B4+G4</f>
        <v/>
      </c>
      <c r="I4" s="5">
        <f>F4*(1+D4)^G4</f>
        <v/>
      </c>
      <c r="J4">
        <f>(1+D4)/(1+Parameters!$B$5)</f>
        <v/>
      </c>
      <c r="K4" s="5">
        <f>IF(G4&gt;0, IF(ROUND(J4, 6)=1, G4 * C4 * (1+Parameters!$B$5)^-0.5, C4 * (1-J4^G4)/(1-J4) * (1+Parameters!$B$5)^-0.5), 0)</f>
        <v/>
      </c>
      <c r="L4" s="5">
        <f>K4*(1-Parameters!$B$4)</f>
        <v/>
      </c>
      <c r="M4" s="5">
        <f>L4*(1+Parameters!$B$5)^G4</f>
        <v/>
      </c>
      <c r="N4" s="5">
        <f>IF(E4&gt;=65, (65-B4)*I4/Parameters!$B$6, 0)</f>
        <v/>
      </c>
      <c r="O4">
        <f>IF(E4&gt;65, (1-(1+Parameters!$B$5)^-(E4-65))/Parameters!$B$5, 0)</f>
        <v/>
      </c>
      <c r="P4" s="5">
        <f>N4 * O4 * (1+Parameters!$B$5)^-(65-B4)</f>
        <v/>
      </c>
      <c r="Q4" s="5">
        <f>IF(AND(E4&gt;=66, E4&lt;=69), 5*N4*(1+Parameters!$B$5)^-(E4-B4), 0)</f>
        <v/>
      </c>
      <c r="R4" s="5">
        <f>IF(E4&lt;=65, L4, 0)</f>
        <v/>
      </c>
      <c r="S4" s="5">
        <f>N4 * (Parameters!$B$6 / Parameters!$B$9)</f>
        <v/>
      </c>
      <c r="T4" s="5">
        <f>P4 + Q4</f>
        <v/>
      </c>
      <c r="U4">
        <f>IF(E4&gt;65, (1-((1+Parameters!$B$10)/(1+Parameters!$B$5))^(E4-65))/(((1+Parameters!$B$5)/(1+Parameters!$B$10))-1), 0)</f>
        <v/>
      </c>
      <c r="V4" s="5">
        <f>S4 * U4 * (1+Parameters!$B$5)^-(65-B4)</f>
        <v/>
      </c>
      <c r="W4" s="5">
        <f>IF(AND(E4&gt;=66, E4&lt;=69), 5*S4*(1+Parameters!$B$5)^-(E4-B4), 0)</f>
        <v/>
      </c>
      <c r="X4" s="5">
        <f>V4 + W4 + R4</f>
        <v/>
      </c>
      <c r="Y4" s="5">
        <f>IF(E4&gt;=65, M4/S4, "")</f>
        <v/>
      </c>
    </row>
    <row r="5">
      <c r="A5" t="n">
        <v>4</v>
      </c>
      <c r="B5" t="n">
        <v>46</v>
      </c>
      <c r="C5" s="5" t="n">
        <v>5450</v>
      </c>
      <c r="D5" t="n">
        <v>0.0095</v>
      </c>
      <c r="E5" t="n">
        <v>77</v>
      </c>
      <c r="F5" s="5" t="n">
        <v>54500</v>
      </c>
      <c r="G5">
        <f>MIN(65-B5, MAX(0, E5-B5))</f>
        <v/>
      </c>
      <c r="H5">
        <f>B5+G5</f>
        <v/>
      </c>
      <c r="I5" s="5">
        <f>F5*(1+D5)^G5</f>
        <v/>
      </c>
      <c r="J5">
        <f>(1+D5)/(1+Parameters!$B$5)</f>
        <v/>
      </c>
      <c r="K5" s="5">
        <f>IF(G5&gt;0, IF(ROUND(J5, 6)=1, G5 * C5 * (1+Parameters!$B$5)^-0.5, C5 * (1-J5^G5)/(1-J5) * (1+Parameters!$B$5)^-0.5), 0)</f>
        <v/>
      </c>
      <c r="L5" s="5">
        <f>K5*(1-Parameters!$B$4)</f>
        <v/>
      </c>
      <c r="M5" s="5">
        <f>L5*(1+Parameters!$B$5)^G5</f>
        <v/>
      </c>
      <c r="N5" s="5">
        <f>IF(E5&gt;=65, (65-B5)*I5/Parameters!$B$6, 0)</f>
        <v/>
      </c>
      <c r="O5">
        <f>IF(E5&gt;65, (1-(1+Parameters!$B$5)^-(E5-65))/Parameters!$B$5, 0)</f>
        <v/>
      </c>
      <c r="P5" s="5">
        <f>N5 * O5 * (1+Parameters!$B$5)^-(65-B5)</f>
        <v/>
      </c>
      <c r="Q5" s="5">
        <f>IF(AND(E5&gt;=66, E5&lt;=69), 5*N5*(1+Parameters!$B$5)^-(E5-B5), 0)</f>
        <v/>
      </c>
      <c r="R5" s="5">
        <f>IF(E5&lt;=65, L5, 0)</f>
        <v/>
      </c>
      <c r="S5" s="5">
        <f>N5 * (Parameters!$B$6 / Parameters!$B$9)</f>
        <v/>
      </c>
      <c r="T5" s="5">
        <f>P5 + Q5</f>
        <v/>
      </c>
      <c r="U5">
        <f>IF(E5&gt;65, (1-((1+Parameters!$B$10)/(1+Parameters!$B$5))^(E5-65))/(((1+Parameters!$B$5)/(1+Parameters!$B$10))-1), 0)</f>
        <v/>
      </c>
      <c r="V5" s="5">
        <f>S5 * U5 * (1+Parameters!$B$5)^-(65-B5)</f>
        <v/>
      </c>
      <c r="W5" s="5">
        <f>IF(AND(E5&gt;=66, E5&lt;=69), 5*S5*(1+Parameters!$B$5)^-(E5-B5), 0)</f>
        <v/>
      </c>
      <c r="X5" s="5">
        <f>V5 + W5 + R5</f>
        <v/>
      </c>
      <c r="Y5" s="5">
        <f>IF(E5&gt;=65, M5/S5, "")</f>
        <v/>
      </c>
    </row>
    <row r="6">
      <c r="A6" t="n">
        <v>5</v>
      </c>
      <c r="B6" t="n">
        <v>21</v>
      </c>
      <c r="C6" s="5" t="n">
        <v>1580</v>
      </c>
      <c r="D6" t="n">
        <v>0.0134</v>
      </c>
      <c r="E6" t="n">
        <v>103</v>
      </c>
      <c r="F6" s="5" t="n">
        <v>15800</v>
      </c>
      <c r="G6">
        <f>MIN(65-B6, MAX(0, E6-B6))</f>
        <v/>
      </c>
      <c r="H6">
        <f>B6+G6</f>
        <v/>
      </c>
      <c r="I6" s="5">
        <f>F6*(1+D6)^G6</f>
        <v/>
      </c>
      <c r="J6">
        <f>(1+D6)/(1+Parameters!$B$5)</f>
        <v/>
      </c>
      <c r="K6" s="5">
        <f>IF(G6&gt;0, IF(ROUND(J6, 6)=1, G6 * C6 * (1+Parameters!$B$5)^-0.5, C6 * (1-J6^G6)/(1-J6) * (1+Parameters!$B$5)^-0.5), 0)</f>
        <v/>
      </c>
      <c r="L6" s="5">
        <f>K6*(1-Parameters!$B$4)</f>
        <v/>
      </c>
      <c r="M6" s="5">
        <f>L6*(1+Parameters!$B$5)^G6</f>
        <v/>
      </c>
      <c r="N6" s="5">
        <f>IF(E6&gt;=65, (65-B6)*I6/Parameters!$B$6, 0)</f>
        <v/>
      </c>
      <c r="O6">
        <f>IF(E6&gt;65, (1-(1+Parameters!$B$5)^-(E6-65))/Parameters!$B$5, 0)</f>
        <v/>
      </c>
      <c r="P6" s="5">
        <f>N6 * O6 * (1+Parameters!$B$5)^-(65-B6)</f>
        <v/>
      </c>
      <c r="Q6" s="5">
        <f>IF(AND(E6&gt;=66, E6&lt;=69), 5*N6*(1+Parameters!$B$5)^-(E6-B6), 0)</f>
        <v/>
      </c>
      <c r="R6" s="5">
        <f>IF(E6&lt;=65, L6, 0)</f>
        <v/>
      </c>
      <c r="S6" s="5">
        <f>N6 * (Parameters!$B$6 / Parameters!$B$9)</f>
        <v/>
      </c>
      <c r="T6" s="5">
        <f>P6 + Q6</f>
        <v/>
      </c>
      <c r="U6">
        <f>IF(E6&gt;65, (1-((1+Parameters!$B$10)/(1+Parameters!$B$5))^(E6-65))/(((1+Parameters!$B$5)/(1+Parameters!$B$10))-1), 0)</f>
        <v/>
      </c>
      <c r="V6" s="5">
        <f>S6 * U6 * (1+Parameters!$B$5)^-(65-B6)</f>
        <v/>
      </c>
      <c r="W6" s="5">
        <f>IF(AND(E6&gt;=66, E6&lt;=69), 5*S6*(1+Parameters!$B$5)^-(E6-B6), 0)</f>
        <v/>
      </c>
      <c r="X6" s="5">
        <f>V6 + W6 + R6</f>
        <v/>
      </c>
      <c r="Y6" s="5">
        <f>IF(E6&gt;=65, M6/S6, "")</f>
        <v/>
      </c>
    </row>
    <row r="7">
      <c r="A7" t="n">
        <v>6</v>
      </c>
      <c r="B7" t="n">
        <v>48</v>
      </c>
      <c r="C7" s="5" t="n">
        <v>8500</v>
      </c>
      <c r="D7" t="n">
        <v>0.0457</v>
      </c>
      <c r="E7" t="n">
        <v>87</v>
      </c>
      <c r="F7" s="5" t="n">
        <v>85000</v>
      </c>
      <c r="G7">
        <f>MIN(65-B7, MAX(0, E7-B7))</f>
        <v/>
      </c>
      <c r="H7">
        <f>B7+G7</f>
        <v/>
      </c>
      <c r="I7" s="5">
        <f>F7*(1+D7)^G7</f>
        <v/>
      </c>
      <c r="J7">
        <f>(1+D7)/(1+Parameters!$B$5)</f>
        <v/>
      </c>
      <c r="K7" s="5">
        <f>IF(G7&gt;0, IF(ROUND(J7, 6)=1, G7 * C7 * (1+Parameters!$B$5)^-0.5, C7 * (1-J7^G7)/(1-J7) * (1+Parameters!$B$5)^-0.5), 0)</f>
        <v/>
      </c>
      <c r="L7" s="5">
        <f>K7*(1-Parameters!$B$4)</f>
        <v/>
      </c>
      <c r="M7" s="5">
        <f>L7*(1+Parameters!$B$5)^G7</f>
        <v/>
      </c>
      <c r="N7" s="5">
        <f>IF(E7&gt;=65, (65-B7)*I7/Parameters!$B$6, 0)</f>
        <v/>
      </c>
      <c r="O7">
        <f>IF(E7&gt;65, (1-(1+Parameters!$B$5)^-(E7-65))/Parameters!$B$5, 0)</f>
        <v/>
      </c>
      <c r="P7" s="5">
        <f>N7 * O7 * (1+Parameters!$B$5)^-(65-B7)</f>
        <v/>
      </c>
      <c r="Q7" s="5">
        <f>IF(AND(E7&gt;=66, E7&lt;=69), 5*N7*(1+Parameters!$B$5)^-(E7-B7), 0)</f>
        <v/>
      </c>
      <c r="R7" s="5">
        <f>IF(E7&lt;=65, L7, 0)</f>
        <v/>
      </c>
      <c r="S7" s="5">
        <f>N7 * (Parameters!$B$6 / Parameters!$B$9)</f>
        <v/>
      </c>
      <c r="T7" s="5">
        <f>P7 + Q7</f>
        <v/>
      </c>
      <c r="U7">
        <f>IF(E7&gt;65, (1-((1+Parameters!$B$10)/(1+Parameters!$B$5))^(E7-65))/(((1+Parameters!$B$5)/(1+Parameters!$B$10))-1), 0)</f>
        <v/>
      </c>
      <c r="V7" s="5">
        <f>S7 * U7 * (1+Parameters!$B$5)^-(65-B7)</f>
        <v/>
      </c>
      <c r="W7" s="5">
        <f>IF(AND(E7&gt;=66, E7&lt;=69), 5*S7*(1+Parameters!$B$5)^-(E7-B7), 0)</f>
        <v/>
      </c>
      <c r="X7" s="5">
        <f>V7 + W7 + R7</f>
        <v/>
      </c>
      <c r="Y7" s="5">
        <f>IF(E7&gt;=65, M7/S7, "")</f>
        <v/>
      </c>
    </row>
    <row r="8">
      <c r="A8" t="n">
        <v>7</v>
      </c>
      <c r="B8" t="n">
        <v>58</v>
      </c>
      <c r="C8" s="5" t="n">
        <v>4030</v>
      </c>
      <c r="D8" t="n">
        <v>0.0262</v>
      </c>
      <c r="E8" t="n">
        <v>79</v>
      </c>
      <c r="F8" s="5" t="n">
        <v>40300</v>
      </c>
      <c r="G8">
        <f>MIN(65-B8, MAX(0, E8-B8))</f>
        <v/>
      </c>
      <c r="H8">
        <f>B8+G8</f>
        <v/>
      </c>
      <c r="I8" s="5">
        <f>F8*(1+D8)^G8</f>
        <v/>
      </c>
      <c r="J8">
        <f>(1+D8)/(1+Parameters!$B$5)</f>
        <v/>
      </c>
      <c r="K8" s="5">
        <f>IF(G8&gt;0, IF(ROUND(J8, 6)=1, G8 * C8 * (1+Parameters!$B$5)^-0.5, C8 * (1-J8^G8)/(1-J8) * (1+Parameters!$B$5)^-0.5), 0)</f>
        <v/>
      </c>
      <c r="L8" s="5">
        <f>K8*(1-Parameters!$B$4)</f>
        <v/>
      </c>
      <c r="M8" s="5">
        <f>L8*(1+Parameters!$B$5)^G8</f>
        <v/>
      </c>
      <c r="N8" s="5">
        <f>IF(E8&gt;=65, (65-B8)*I8/Parameters!$B$6, 0)</f>
        <v/>
      </c>
      <c r="O8">
        <f>IF(E8&gt;65, (1-(1+Parameters!$B$5)^-(E8-65))/Parameters!$B$5, 0)</f>
        <v/>
      </c>
      <c r="P8" s="5">
        <f>N8 * O8 * (1+Parameters!$B$5)^-(65-B8)</f>
        <v/>
      </c>
      <c r="Q8" s="5">
        <f>IF(AND(E8&gt;=66, E8&lt;=69), 5*N8*(1+Parameters!$B$5)^-(E8-B8), 0)</f>
        <v/>
      </c>
      <c r="R8" s="5">
        <f>IF(E8&lt;=65, L8, 0)</f>
        <v/>
      </c>
      <c r="S8" s="5">
        <f>N8 * (Parameters!$B$6 / Parameters!$B$9)</f>
        <v/>
      </c>
      <c r="T8" s="5">
        <f>P8 + Q8</f>
        <v/>
      </c>
      <c r="U8">
        <f>IF(E8&gt;65, (1-((1+Parameters!$B$10)/(1+Parameters!$B$5))^(E8-65))/(((1+Parameters!$B$5)/(1+Parameters!$B$10))-1), 0)</f>
        <v/>
      </c>
      <c r="V8" s="5">
        <f>S8 * U8 * (1+Parameters!$B$5)^-(65-B8)</f>
        <v/>
      </c>
      <c r="W8" s="5">
        <f>IF(AND(E8&gt;=66, E8&lt;=69), 5*S8*(1+Parameters!$B$5)^-(E8-B8), 0)</f>
        <v/>
      </c>
      <c r="X8" s="5">
        <f>V8 + W8 + R8</f>
        <v/>
      </c>
      <c r="Y8" s="5">
        <f>IF(E8&gt;=65, M8/S8, "")</f>
        <v/>
      </c>
    </row>
    <row r="9">
      <c r="A9" t="n">
        <v>8</v>
      </c>
      <c r="B9" t="n">
        <v>57</v>
      </c>
      <c r="C9" s="5" t="n">
        <v>8440</v>
      </c>
      <c r="D9" t="n">
        <v>0.0059</v>
      </c>
      <c r="E9" t="n">
        <v>79</v>
      </c>
      <c r="F9" s="5" t="n">
        <v>84400</v>
      </c>
      <c r="G9">
        <f>MIN(65-B9, MAX(0, E9-B9))</f>
        <v/>
      </c>
      <c r="H9">
        <f>B9+G9</f>
        <v/>
      </c>
      <c r="I9" s="5">
        <f>F9*(1+D9)^G9</f>
        <v/>
      </c>
      <c r="J9">
        <f>(1+D9)/(1+Parameters!$B$5)</f>
        <v/>
      </c>
      <c r="K9" s="5">
        <f>IF(G9&gt;0, IF(ROUND(J9, 6)=1, G9 * C9 * (1+Parameters!$B$5)^-0.5, C9 * (1-J9^G9)/(1-J9) * (1+Parameters!$B$5)^-0.5), 0)</f>
        <v/>
      </c>
      <c r="L9" s="5">
        <f>K9*(1-Parameters!$B$4)</f>
        <v/>
      </c>
      <c r="M9" s="5">
        <f>L9*(1+Parameters!$B$5)^G9</f>
        <v/>
      </c>
      <c r="N9" s="5">
        <f>IF(E9&gt;=65, (65-B9)*I9/Parameters!$B$6, 0)</f>
        <v/>
      </c>
      <c r="O9">
        <f>IF(E9&gt;65, (1-(1+Parameters!$B$5)^-(E9-65))/Parameters!$B$5, 0)</f>
        <v/>
      </c>
      <c r="P9" s="5">
        <f>N9 * O9 * (1+Parameters!$B$5)^-(65-B9)</f>
        <v/>
      </c>
      <c r="Q9" s="5">
        <f>IF(AND(E9&gt;=66, E9&lt;=69), 5*N9*(1+Parameters!$B$5)^-(E9-B9), 0)</f>
        <v/>
      </c>
      <c r="R9" s="5">
        <f>IF(E9&lt;=65, L9, 0)</f>
        <v/>
      </c>
      <c r="S9" s="5">
        <f>N9 * (Parameters!$B$6 / Parameters!$B$9)</f>
        <v/>
      </c>
      <c r="T9" s="5">
        <f>P9 + Q9</f>
        <v/>
      </c>
      <c r="U9">
        <f>IF(E9&gt;65, (1-((1+Parameters!$B$10)/(1+Parameters!$B$5))^(E9-65))/(((1+Parameters!$B$5)/(1+Parameters!$B$10))-1), 0)</f>
        <v/>
      </c>
      <c r="V9" s="5">
        <f>S9 * U9 * (1+Parameters!$B$5)^-(65-B9)</f>
        <v/>
      </c>
      <c r="W9" s="5">
        <f>IF(AND(E9&gt;=66, E9&lt;=69), 5*S9*(1+Parameters!$B$5)^-(E9-B9), 0)</f>
        <v/>
      </c>
      <c r="X9" s="5">
        <f>V9 + W9 + R9</f>
        <v/>
      </c>
      <c r="Y9" s="5">
        <f>IF(E9&gt;=65, M9/S9, "")</f>
        <v/>
      </c>
    </row>
    <row r="10">
      <c r="A10" t="n">
        <v>9</v>
      </c>
      <c r="B10" t="n">
        <v>29</v>
      </c>
      <c r="C10" s="5" t="n">
        <v>1260</v>
      </c>
      <c r="D10" t="n">
        <v>0.0105</v>
      </c>
      <c r="E10" t="n">
        <v>76</v>
      </c>
      <c r="F10" s="5" t="n">
        <v>12600</v>
      </c>
      <c r="G10">
        <f>MIN(65-B10, MAX(0, E10-B10))</f>
        <v/>
      </c>
      <c r="H10">
        <f>B10+G10</f>
        <v/>
      </c>
      <c r="I10" s="5">
        <f>F10*(1+D10)^G10</f>
        <v/>
      </c>
      <c r="J10">
        <f>(1+D10)/(1+Parameters!$B$5)</f>
        <v/>
      </c>
      <c r="K10" s="5">
        <f>IF(G10&gt;0, IF(ROUND(J10, 6)=1, G10 * C10 * (1+Parameters!$B$5)^-0.5, C10 * (1-J10^G10)/(1-J10) * (1+Parameters!$B$5)^-0.5), 0)</f>
        <v/>
      </c>
      <c r="L10" s="5">
        <f>K10*(1-Parameters!$B$4)</f>
        <v/>
      </c>
      <c r="M10" s="5">
        <f>L10*(1+Parameters!$B$5)^G10</f>
        <v/>
      </c>
      <c r="N10" s="5">
        <f>IF(E10&gt;=65, (65-B10)*I10/Parameters!$B$6, 0)</f>
        <v/>
      </c>
      <c r="O10">
        <f>IF(E10&gt;65, (1-(1+Parameters!$B$5)^-(E10-65))/Parameters!$B$5, 0)</f>
        <v/>
      </c>
      <c r="P10" s="5">
        <f>N10 * O10 * (1+Parameters!$B$5)^-(65-B10)</f>
        <v/>
      </c>
      <c r="Q10" s="5">
        <f>IF(AND(E10&gt;=66, E10&lt;=69), 5*N10*(1+Parameters!$B$5)^-(E10-B10), 0)</f>
        <v/>
      </c>
      <c r="R10" s="5">
        <f>IF(E10&lt;=65, L10, 0)</f>
        <v/>
      </c>
      <c r="S10" s="5">
        <f>N10 * (Parameters!$B$6 / Parameters!$B$9)</f>
        <v/>
      </c>
      <c r="T10" s="5">
        <f>P10 + Q10</f>
        <v/>
      </c>
      <c r="U10">
        <f>IF(E10&gt;65, (1-((1+Parameters!$B$10)/(1+Parameters!$B$5))^(E10-65))/(((1+Parameters!$B$5)/(1+Parameters!$B$10))-1), 0)</f>
        <v/>
      </c>
      <c r="V10" s="5">
        <f>S10 * U10 * (1+Parameters!$B$5)^-(65-B10)</f>
        <v/>
      </c>
      <c r="W10" s="5">
        <f>IF(AND(E10&gt;=66, E10&lt;=69), 5*S10*(1+Parameters!$B$5)^-(E10-B10), 0)</f>
        <v/>
      </c>
      <c r="X10" s="5">
        <f>V10 + W10 + R10</f>
        <v/>
      </c>
      <c r="Y10" s="5">
        <f>IF(E10&gt;=65, M10/S10, "")</f>
        <v/>
      </c>
    </row>
    <row r="11">
      <c r="A11" t="n">
        <v>10</v>
      </c>
      <c r="B11" t="n">
        <v>40</v>
      </c>
      <c r="C11" s="5" t="n">
        <v>3850</v>
      </c>
      <c r="D11" t="n">
        <v>0.0275</v>
      </c>
      <c r="E11" t="n">
        <v>67</v>
      </c>
      <c r="F11" s="5" t="n">
        <v>38500</v>
      </c>
      <c r="G11">
        <f>MIN(65-B11, MAX(0, E11-B11))</f>
        <v/>
      </c>
      <c r="H11">
        <f>B11+G11</f>
        <v/>
      </c>
      <c r="I11" s="5">
        <f>F11*(1+D11)^G11</f>
        <v/>
      </c>
      <c r="J11">
        <f>(1+D11)/(1+Parameters!$B$5)</f>
        <v/>
      </c>
      <c r="K11" s="5">
        <f>IF(G11&gt;0, IF(ROUND(J11, 6)=1, G11 * C11 * (1+Parameters!$B$5)^-0.5, C11 * (1-J11^G11)/(1-J11) * (1+Parameters!$B$5)^-0.5), 0)</f>
        <v/>
      </c>
      <c r="L11" s="5">
        <f>K11*(1-Parameters!$B$4)</f>
        <v/>
      </c>
      <c r="M11" s="5">
        <f>L11*(1+Parameters!$B$5)^G11</f>
        <v/>
      </c>
      <c r="N11" s="5">
        <f>IF(E11&gt;=65, (65-B11)*I11/Parameters!$B$6, 0)</f>
        <v/>
      </c>
      <c r="O11">
        <f>IF(E11&gt;65, (1-(1+Parameters!$B$5)^-(E11-65))/Parameters!$B$5, 0)</f>
        <v/>
      </c>
      <c r="P11" s="5">
        <f>N11 * O11 * (1+Parameters!$B$5)^-(65-B11)</f>
        <v/>
      </c>
      <c r="Q11" s="5">
        <f>IF(AND(E11&gt;=66, E11&lt;=69), 5*N11*(1+Parameters!$B$5)^-(E11-B11), 0)</f>
        <v/>
      </c>
      <c r="R11" s="5">
        <f>IF(E11&lt;=65, L11, 0)</f>
        <v/>
      </c>
      <c r="S11" s="5">
        <f>N11 * (Parameters!$B$6 / Parameters!$B$9)</f>
        <v/>
      </c>
      <c r="T11" s="5">
        <f>P11 + Q11</f>
        <v/>
      </c>
      <c r="U11">
        <f>IF(E11&gt;65, (1-((1+Parameters!$B$10)/(1+Parameters!$B$5))^(E11-65))/(((1+Parameters!$B$5)/(1+Parameters!$B$10))-1), 0)</f>
        <v/>
      </c>
      <c r="V11" s="5">
        <f>S11 * U11 * (1+Parameters!$B$5)^-(65-B11)</f>
        <v/>
      </c>
      <c r="W11" s="5">
        <f>IF(AND(E11&gt;=66, E11&lt;=69), 5*S11*(1+Parameters!$B$5)^-(E11-B11), 0)</f>
        <v/>
      </c>
      <c r="X11" s="5">
        <f>V11 + W11 + R11</f>
        <v/>
      </c>
      <c r="Y11" s="5">
        <f>IF(E11&gt;=65, M11/S11, "")</f>
        <v/>
      </c>
    </row>
    <row r="12">
      <c r="A12" t="n">
        <v>11</v>
      </c>
      <c r="B12" t="n">
        <v>48</v>
      </c>
      <c r="C12" s="5" t="n">
        <v>11570</v>
      </c>
      <c r="D12" t="n">
        <v>0.0373</v>
      </c>
      <c r="E12" t="n">
        <v>80</v>
      </c>
      <c r="F12" s="5" t="n">
        <v>115700</v>
      </c>
      <c r="G12">
        <f>MIN(65-B12, MAX(0, E12-B12))</f>
        <v/>
      </c>
      <c r="H12">
        <f>B12+G12</f>
        <v/>
      </c>
      <c r="I12" s="5">
        <f>F12*(1+D12)^G12</f>
        <v/>
      </c>
      <c r="J12">
        <f>(1+D12)/(1+Parameters!$B$5)</f>
        <v/>
      </c>
      <c r="K12" s="5">
        <f>IF(G12&gt;0, IF(ROUND(J12, 6)=1, G12 * C12 * (1+Parameters!$B$5)^-0.5, C12 * (1-J12^G12)/(1-J12) * (1+Parameters!$B$5)^-0.5), 0)</f>
        <v/>
      </c>
      <c r="L12" s="5">
        <f>K12*(1-Parameters!$B$4)</f>
        <v/>
      </c>
      <c r="M12" s="5">
        <f>L12*(1+Parameters!$B$5)^G12</f>
        <v/>
      </c>
      <c r="N12" s="5">
        <f>IF(E12&gt;=65, (65-B12)*I12/Parameters!$B$6, 0)</f>
        <v/>
      </c>
      <c r="O12">
        <f>IF(E12&gt;65, (1-(1+Parameters!$B$5)^-(E12-65))/Parameters!$B$5, 0)</f>
        <v/>
      </c>
      <c r="P12" s="5">
        <f>N12 * O12 * (1+Parameters!$B$5)^-(65-B12)</f>
        <v/>
      </c>
      <c r="Q12" s="5">
        <f>IF(AND(E12&gt;=66, E12&lt;=69), 5*N12*(1+Parameters!$B$5)^-(E12-B12), 0)</f>
        <v/>
      </c>
      <c r="R12" s="5">
        <f>IF(E12&lt;=65, L12, 0)</f>
        <v/>
      </c>
      <c r="S12" s="5">
        <f>N12 * (Parameters!$B$6 / Parameters!$B$9)</f>
        <v/>
      </c>
      <c r="T12" s="5">
        <f>P12 + Q12</f>
        <v/>
      </c>
      <c r="U12">
        <f>IF(E12&gt;65, (1-((1+Parameters!$B$10)/(1+Parameters!$B$5))^(E12-65))/(((1+Parameters!$B$5)/(1+Parameters!$B$10))-1), 0)</f>
        <v/>
      </c>
      <c r="V12" s="5">
        <f>S12 * U12 * (1+Parameters!$B$5)^-(65-B12)</f>
        <v/>
      </c>
      <c r="W12" s="5">
        <f>IF(AND(E12&gt;=66, E12&lt;=69), 5*S12*(1+Parameters!$B$5)^-(E12-B12), 0)</f>
        <v/>
      </c>
      <c r="X12" s="5">
        <f>V12 + W12 + R12</f>
        <v/>
      </c>
      <c r="Y12" s="5">
        <f>IF(E12&gt;=65, M12/S12, "")</f>
        <v/>
      </c>
    </row>
    <row r="13">
      <c r="A13" t="n">
        <v>12</v>
      </c>
      <c r="B13" t="n">
        <v>41</v>
      </c>
      <c r="C13" s="5" t="n">
        <v>1040</v>
      </c>
      <c r="D13" t="n">
        <v>0.0431</v>
      </c>
      <c r="E13" t="n">
        <v>91</v>
      </c>
      <c r="F13" s="5" t="n">
        <v>10400</v>
      </c>
      <c r="G13">
        <f>MIN(65-B13, MAX(0, E13-B13))</f>
        <v/>
      </c>
      <c r="H13">
        <f>B13+G13</f>
        <v/>
      </c>
      <c r="I13" s="5">
        <f>F13*(1+D13)^G13</f>
        <v/>
      </c>
      <c r="J13">
        <f>(1+D13)/(1+Parameters!$B$5)</f>
        <v/>
      </c>
      <c r="K13" s="5">
        <f>IF(G13&gt;0, IF(ROUND(J13, 6)=1, G13 * C13 * (1+Parameters!$B$5)^-0.5, C13 * (1-J13^G13)/(1-J13) * (1+Parameters!$B$5)^-0.5), 0)</f>
        <v/>
      </c>
      <c r="L13" s="5">
        <f>K13*(1-Parameters!$B$4)</f>
        <v/>
      </c>
      <c r="M13" s="5">
        <f>L13*(1+Parameters!$B$5)^G13</f>
        <v/>
      </c>
      <c r="N13" s="5">
        <f>IF(E13&gt;=65, (65-B13)*I13/Parameters!$B$6, 0)</f>
        <v/>
      </c>
      <c r="O13">
        <f>IF(E13&gt;65, (1-(1+Parameters!$B$5)^-(E13-65))/Parameters!$B$5, 0)</f>
        <v/>
      </c>
      <c r="P13" s="5">
        <f>N13 * O13 * (1+Parameters!$B$5)^-(65-B13)</f>
        <v/>
      </c>
      <c r="Q13" s="5">
        <f>IF(AND(E13&gt;=66, E13&lt;=69), 5*N13*(1+Parameters!$B$5)^-(E13-B13), 0)</f>
        <v/>
      </c>
      <c r="R13" s="5">
        <f>IF(E13&lt;=65, L13, 0)</f>
        <v/>
      </c>
      <c r="S13" s="5">
        <f>N13 * (Parameters!$B$6 / Parameters!$B$9)</f>
        <v/>
      </c>
      <c r="T13" s="5">
        <f>P13 + Q13</f>
        <v/>
      </c>
      <c r="U13">
        <f>IF(E13&gt;65, (1-((1+Parameters!$B$10)/(1+Parameters!$B$5))^(E13-65))/(((1+Parameters!$B$5)/(1+Parameters!$B$10))-1), 0)</f>
        <v/>
      </c>
      <c r="V13" s="5">
        <f>S13 * U13 * (1+Parameters!$B$5)^-(65-B13)</f>
        <v/>
      </c>
      <c r="W13" s="5">
        <f>IF(AND(E13&gt;=66, E13&lt;=69), 5*S13*(1+Parameters!$B$5)^-(E13-B13), 0)</f>
        <v/>
      </c>
      <c r="X13" s="5">
        <f>V13 + W13 + R13</f>
        <v/>
      </c>
      <c r="Y13" s="5">
        <f>IF(E13&gt;=65, M13/S13, "")</f>
        <v/>
      </c>
    </row>
    <row r="14">
      <c r="A14" t="n">
        <v>13</v>
      </c>
      <c r="B14" t="n">
        <v>25</v>
      </c>
      <c r="C14" s="5" t="n">
        <v>1940</v>
      </c>
      <c r="D14" t="n">
        <v>0.0076</v>
      </c>
      <c r="E14" t="n">
        <v>78</v>
      </c>
      <c r="F14" s="5" t="n">
        <v>19400</v>
      </c>
      <c r="G14">
        <f>MIN(65-B14, MAX(0, E14-B14))</f>
        <v/>
      </c>
      <c r="H14">
        <f>B14+G14</f>
        <v/>
      </c>
      <c r="I14" s="5">
        <f>F14*(1+D14)^G14</f>
        <v/>
      </c>
      <c r="J14">
        <f>(1+D14)/(1+Parameters!$B$5)</f>
        <v/>
      </c>
      <c r="K14" s="5">
        <f>IF(G14&gt;0, IF(ROUND(J14, 6)=1, G14 * C14 * (1+Parameters!$B$5)^-0.5, C14 * (1-J14^G14)/(1-J14) * (1+Parameters!$B$5)^-0.5), 0)</f>
        <v/>
      </c>
      <c r="L14" s="5">
        <f>K14*(1-Parameters!$B$4)</f>
        <v/>
      </c>
      <c r="M14" s="5">
        <f>L14*(1+Parameters!$B$5)^G14</f>
        <v/>
      </c>
      <c r="N14" s="5">
        <f>IF(E14&gt;=65, (65-B14)*I14/Parameters!$B$6, 0)</f>
        <v/>
      </c>
      <c r="O14">
        <f>IF(E14&gt;65, (1-(1+Parameters!$B$5)^-(E14-65))/Parameters!$B$5, 0)</f>
        <v/>
      </c>
      <c r="P14" s="5">
        <f>N14 * O14 * (1+Parameters!$B$5)^-(65-B14)</f>
        <v/>
      </c>
      <c r="Q14" s="5">
        <f>IF(AND(E14&gt;=66, E14&lt;=69), 5*N14*(1+Parameters!$B$5)^-(E14-B14), 0)</f>
        <v/>
      </c>
      <c r="R14" s="5">
        <f>IF(E14&lt;=65, L14, 0)</f>
        <v/>
      </c>
      <c r="S14" s="5">
        <f>N14 * (Parameters!$B$6 / Parameters!$B$9)</f>
        <v/>
      </c>
      <c r="T14" s="5">
        <f>P14 + Q14</f>
        <v/>
      </c>
      <c r="U14">
        <f>IF(E14&gt;65, (1-((1+Parameters!$B$10)/(1+Parameters!$B$5))^(E14-65))/(((1+Parameters!$B$5)/(1+Parameters!$B$10))-1), 0)</f>
        <v/>
      </c>
      <c r="V14" s="5">
        <f>S14 * U14 * (1+Parameters!$B$5)^-(65-B14)</f>
        <v/>
      </c>
      <c r="W14" s="5">
        <f>IF(AND(E14&gt;=66, E14&lt;=69), 5*S14*(1+Parameters!$B$5)^-(E14-B14), 0)</f>
        <v/>
      </c>
      <c r="X14" s="5">
        <f>V14 + W14 + R14</f>
        <v/>
      </c>
      <c r="Y14" s="5">
        <f>IF(E14&gt;=65, M14/S14, "")</f>
        <v/>
      </c>
    </row>
    <row r="15">
      <c r="A15" t="n">
        <v>14</v>
      </c>
      <c r="B15" t="n">
        <v>26</v>
      </c>
      <c r="C15" s="5" t="n">
        <v>5370</v>
      </c>
      <c r="D15" t="n">
        <v>0.0428</v>
      </c>
      <c r="E15" t="n">
        <v>77</v>
      </c>
      <c r="F15" s="5" t="n">
        <v>53700</v>
      </c>
      <c r="G15">
        <f>MIN(65-B15, MAX(0, E15-B15))</f>
        <v/>
      </c>
      <c r="H15">
        <f>B15+G15</f>
        <v/>
      </c>
      <c r="I15" s="5">
        <f>F15*(1+D15)^G15</f>
        <v/>
      </c>
      <c r="J15">
        <f>(1+D15)/(1+Parameters!$B$5)</f>
        <v/>
      </c>
      <c r="K15" s="5">
        <f>IF(G15&gt;0, IF(ROUND(J15, 6)=1, G15 * C15 * (1+Parameters!$B$5)^-0.5, C15 * (1-J15^G15)/(1-J15) * (1+Parameters!$B$5)^-0.5), 0)</f>
        <v/>
      </c>
      <c r="L15" s="5">
        <f>K15*(1-Parameters!$B$4)</f>
        <v/>
      </c>
      <c r="M15" s="5">
        <f>L15*(1+Parameters!$B$5)^G15</f>
        <v/>
      </c>
      <c r="N15" s="5">
        <f>IF(E15&gt;=65, (65-B15)*I15/Parameters!$B$6, 0)</f>
        <v/>
      </c>
      <c r="O15">
        <f>IF(E15&gt;65, (1-(1+Parameters!$B$5)^-(E15-65))/Parameters!$B$5, 0)</f>
        <v/>
      </c>
      <c r="P15" s="5">
        <f>N15 * O15 * (1+Parameters!$B$5)^-(65-B15)</f>
        <v/>
      </c>
      <c r="Q15" s="5">
        <f>IF(AND(E15&gt;=66, E15&lt;=69), 5*N15*(1+Parameters!$B$5)^-(E15-B15), 0)</f>
        <v/>
      </c>
      <c r="R15" s="5">
        <f>IF(E15&lt;=65, L15, 0)</f>
        <v/>
      </c>
      <c r="S15" s="5">
        <f>N15 * (Parameters!$B$6 / Parameters!$B$9)</f>
        <v/>
      </c>
      <c r="T15" s="5">
        <f>P15 + Q15</f>
        <v/>
      </c>
      <c r="U15">
        <f>IF(E15&gt;65, (1-((1+Parameters!$B$10)/(1+Parameters!$B$5))^(E15-65))/(((1+Parameters!$B$5)/(1+Parameters!$B$10))-1), 0)</f>
        <v/>
      </c>
      <c r="V15" s="5">
        <f>S15 * U15 * (1+Parameters!$B$5)^-(65-B15)</f>
        <v/>
      </c>
      <c r="W15" s="5">
        <f>IF(AND(E15&gt;=66, E15&lt;=69), 5*S15*(1+Parameters!$B$5)^-(E15-B15), 0)</f>
        <v/>
      </c>
      <c r="X15" s="5">
        <f>V15 + W15 + R15</f>
        <v/>
      </c>
      <c r="Y15" s="5">
        <f>IF(E15&gt;=65, M15/S15, "")</f>
        <v/>
      </c>
    </row>
    <row r="16">
      <c r="A16" t="n">
        <v>15</v>
      </c>
      <c r="B16" t="n">
        <v>40</v>
      </c>
      <c r="C16" s="5" t="n">
        <v>8450</v>
      </c>
      <c r="D16" t="n">
        <v>0.0274</v>
      </c>
      <c r="E16" t="n">
        <v>85</v>
      </c>
      <c r="F16" s="5" t="n">
        <v>84500</v>
      </c>
      <c r="G16">
        <f>MIN(65-B16, MAX(0, E16-B16))</f>
        <v/>
      </c>
      <c r="H16">
        <f>B16+G16</f>
        <v/>
      </c>
      <c r="I16" s="5">
        <f>F16*(1+D16)^G16</f>
        <v/>
      </c>
      <c r="J16">
        <f>(1+D16)/(1+Parameters!$B$5)</f>
        <v/>
      </c>
      <c r="K16" s="5">
        <f>IF(G16&gt;0, IF(ROUND(J16, 6)=1, G16 * C16 * (1+Parameters!$B$5)^-0.5, C16 * (1-J16^G16)/(1-J16) * (1+Parameters!$B$5)^-0.5), 0)</f>
        <v/>
      </c>
      <c r="L16" s="5">
        <f>K16*(1-Parameters!$B$4)</f>
        <v/>
      </c>
      <c r="M16" s="5">
        <f>L16*(1+Parameters!$B$5)^G16</f>
        <v/>
      </c>
      <c r="N16" s="5">
        <f>IF(E16&gt;=65, (65-B16)*I16/Parameters!$B$6, 0)</f>
        <v/>
      </c>
      <c r="O16">
        <f>IF(E16&gt;65, (1-(1+Parameters!$B$5)^-(E16-65))/Parameters!$B$5, 0)</f>
        <v/>
      </c>
      <c r="P16" s="5">
        <f>N16 * O16 * (1+Parameters!$B$5)^-(65-B16)</f>
        <v/>
      </c>
      <c r="Q16" s="5">
        <f>IF(AND(E16&gt;=66, E16&lt;=69), 5*N16*(1+Parameters!$B$5)^-(E16-B16), 0)</f>
        <v/>
      </c>
      <c r="R16" s="5">
        <f>IF(E16&lt;=65, L16, 0)</f>
        <v/>
      </c>
      <c r="S16" s="5">
        <f>N16 * (Parameters!$B$6 / Parameters!$B$9)</f>
        <v/>
      </c>
      <c r="T16" s="5">
        <f>P16 + Q16</f>
        <v/>
      </c>
      <c r="U16">
        <f>IF(E16&gt;65, (1-((1+Parameters!$B$10)/(1+Parameters!$B$5))^(E16-65))/(((1+Parameters!$B$5)/(1+Parameters!$B$10))-1), 0)</f>
        <v/>
      </c>
      <c r="V16" s="5">
        <f>S16 * U16 * (1+Parameters!$B$5)^-(65-B16)</f>
        <v/>
      </c>
      <c r="W16" s="5">
        <f>IF(AND(E16&gt;=66, E16&lt;=69), 5*S16*(1+Parameters!$B$5)^-(E16-B16), 0)</f>
        <v/>
      </c>
      <c r="X16" s="5">
        <f>V16 + W16 + R16</f>
        <v/>
      </c>
      <c r="Y16" s="5">
        <f>IF(E16&gt;=65, M16/S16, "")</f>
        <v/>
      </c>
    </row>
    <row r="17">
      <c r="A17" t="n">
        <v>16</v>
      </c>
      <c r="B17" t="n">
        <v>31</v>
      </c>
      <c r="C17" s="5" t="n">
        <v>1510</v>
      </c>
      <c r="D17" t="n">
        <v>0.0318</v>
      </c>
      <c r="E17" t="n">
        <v>86</v>
      </c>
      <c r="F17" s="5" t="n">
        <v>15100</v>
      </c>
      <c r="G17">
        <f>MIN(65-B17, MAX(0, E17-B17))</f>
        <v/>
      </c>
      <c r="H17">
        <f>B17+G17</f>
        <v/>
      </c>
      <c r="I17" s="5">
        <f>F17*(1+D17)^G17</f>
        <v/>
      </c>
      <c r="J17">
        <f>(1+D17)/(1+Parameters!$B$5)</f>
        <v/>
      </c>
      <c r="K17" s="5">
        <f>IF(G17&gt;0, IF(ROUND(J17, 6)=1, G17 * C17 * (1+Parameters!$B$5)^-0.5, C17 * (1-J17^G17)/(1-J17) * (1+Parameters!$B$5)^-0.5), 0)</f>
        <v/>
      </c>
      <c r="L17" s="5">
        <f>K17*(1-Parameters!$B$4)</f>
        <v/>
      </c>
      <c r="M17" s="5">
        <f>L17*(1+Parameters!$B$5)^G17</f>
        <v/>
      </c>
      <c r="N17" s="5">
        <f>IF(E17&gt;=65, (65-B17)*I17/Parameters!$B$6, 0)</f>
        <v/>
      </c>
      <c r="O17">
        <f>IF(E17&gt;65, (1-(1+Parameters!$B$5)^-(E17-65))/Parameters!$B$5, 0)</f>
        <v/>
      </c>
      <c r="P17" s="5">
        <f>N17 * O17 * (1+Parameters!$B$5)^-(65-B17)</f>
        <v/>
      </c>
      <c r="Q17" s="5">
        <f>IF(AND(E17&gt;=66, E17&lt;=69), 5*N17*(1+Parameters!$B$5)^-(E17-B17), 0)</f>
        <v/>
      </c>
      <c r="R17" s="5">
        <f>IF(E17&lt;=65, L17, 0)</f>
        <v/>
      </c>
      <c r="S17" s="5">
        <f>N17 * (Parameters!$B$6 / Parameters!$B$9)</f>
        <v/>
      </c>
      <c r="T17" s="5">
        <f>P17 + Q17</f>
        <v/>
      </c>
      <c r="U17">
        <f>IF(E17&gt;65, (1-((1+Parameters!$B$10)/(1+Parameters!$B$5))^(E17-65))/(((1+Parameters!$B$5)/(1+Parameters!$B$10))-1), 0)</f>
        <v/>
      </c>
      <c r="V17" s="5">
        <f>S17 * U17 * (1+Parameters!$B$5)^-(65-B17)</f>
        <v/>
      </c>
      <c r="W17" s="5">
        <f>IF(AND(E17&gt;=66, E17&lt;=69), 5*S17*(1+Parameters!$B$5)^-(E17-B17), 0)</f>
        <v/>
      </c>
      <c r="X17" s="5">
        <f>V17 + W17 + R17</f>
        <v/>
      </c>
      <c r="Y17" s="5">
        <f>IF(E17&gt;=65, M17/S17, "")</f>
        <v/>
      </c>
    </row>
    <row r="18">
      <c r="A18" t="n">
        <v>17</v>
      </c>
      <c r="B18" t="n">
        <v>21</v>
      </c>
      <c r="C18" s="5" t="n">
        <v>1310</v>
      </c>
      <c r="D18" t="n">
        <v>0.0473</v>
      </c>
      <c r="E18" t="n">
        <v>91</v>
      </c>
      <c r="F18" s="5" t="n">
        <v>13100</v>
      </c>
      <c r="G18">
        <f>MIN(65-B18, MAX(0, E18-B18))</f>
        <v/>
      </c>
      <c r="H18">
        <f>B18+G18</f>
        <v/>
      </c>
      <c r="I18" s="5">
        <f>F18*(1+D18)^G18</f>
        <v/>
      </c>
      <c r="J18">
        <f>(1+D18)/(1+Parameters!$B$5)</f>
        <v/>
      </c>
      <c r="K18" s="5">
        <f>IF(G18&gt;0, IF(ROUND(J18, 6)=1, G18 * C18 * (1+Parameters!$B$5)^-0.5, C18 * (1-J18^G18)/(1-J18) * (1+Parameters!$B$5)^-0.5), 0)</f>
        <v/>
      </c>
      <c r="L18" s="5">
        <f>K18*(1-Parameters!$B$4)</f>
        <v/>
      </c>
      <c r="M18" s="5">
        <f>L18*(1+Parameters!$B$5)^G18</f>
        <v/>
      </c>
      <c r="N18" s="5">
        <f>IF(E18&gt;=65, (65-B18)*I18/Parameters!$B$6, 0)</f>
        <v/>
      </c>
      <c r="O18">
        <f>IF(E18&gt;65, (1-(1+Parameters!$B$5)^-(E18-65))/Parameters!$B$5, 0)</f>
        <v/>
      </c>
      <c r="P18" s="5">
        <f>N18 * O18 * (1+Parameters!$B$5)^-(65-B18)</f>
        <v/>
      </c>
      <c r="Q18" s="5">
        <f>IF(AND(E18&gt;=66, E18&lt;=69), 5*N18*(1+Parameters!$B$5)^-(E18-B18), 0)</f>
        <v/>
      </c>
      <c r="R18" s="5">
        <f>IF(E18&lt;=65, L18, 0)</f>
        <v/>
      </c>
      <c r="S18" s="5">
        <f>N18 * (Parameters!$B$6 / Parameters!$B$9)</f>
        <v/>
      </c>
      <c r="T18" s="5">
        <f>P18 + Q18</f>
        <v/>
      </c>
      <c r="U18">
        <f>IF(E18&gt;65, (1-((1+Parameters!$B$10)/(1+Parameters!$B$5))^(E18-65))/(((1+Parameters!$B$5)/(1+Parameters!$B$10))-1), 0)</f>
        <v/>
      </c>
      <c r="V18" s="5">
        <f>S18 * U18 * (1+Parameters!$B$5)^-(65-B18)</f>
        <v/>
      </c>
      <c r="W18" s="5">
        <f>IF(AND(E18&gt;=66, E18&lt;=69), 5*S18*(1+Parameters!$B$5)^-(E18-B18), 0)</f>
        <v/>
      </c>
      <c r="X18" s="5">
        <f>V18 + W18 + R18</f>
        <v/>
      </c>
      <c r="Y18" s="5">
        <f>IF(E18&gt;=65, M18/S18, "")</f>
        <v/>
      </c>
    </row>
    <row r="19">
      <c r="A19" t="n">
        <v>18</v>
      </c>
      <c r="B19" t="n">
        <v>43</v>
      </c>
      <c r="C19" s="5" t="n">
        <v>1790</v>
      </c>
      <c r="D19" t="n">
        <v>0.0262</v>
      </c>
      <c r="E19" t="n">
        <v>94</v>
      </c>
      <c r="F19" s="5" t="n">
        <v>17900</v>
      </c>
      <c r="G19">
        <f>MIN(65-B19, MAX(0, E19-B19))</f>
        <v/>
      </c>
      <c r="H19">
        <f>B19+G19</f>
        <v/>
      </c>
      <c r="I19" s="5">
        <f>F19*(1+D19)^G19</f>
        <v/>
      </c>
      <c r="J19">
        <f>(1+D19)/(1+Parameters!$B$5)</f>
        <v/>
      </c>
      <c r="K19" s="5">
        <f>IF(G19&gt;0, IF(ROUND(J19, 6)=1, G19 * C19 * (1+Parameters!$B$5)^-0.5, C19 * (1-J19^G19)/(1-J19) * (1+Parameters!$B$5)^-0.5), 0)</f>
        <v/>
      </c>
      <c r="L19" s="5">
        <f>K19*(1-Parameters!$B$4)</f>
        <v/>
      </c>
      <c r="M19" s="5">
        <f>L19*(1+Parameters!$B$5)^G19</f>
        <v/>
      </c>
      <c r="N19" s="5">
        <f>IF(E19&gt;=65, (65-B19)*I19/Parameters!$B$6, 0)</f>
        <v/>
      </c>
      <c r="O19">
        <f>IF(E19&gt;65, (1-(1+Parameters!$B$5)^-(E19-65))/Parameters!$B$5, 0)</f>
        <v/>
      </c>
      <c r="P19" s="5">
        <f>N19 * O19 * (1+Parameters!$B$5)^-(65-B19)</f>
        <v/>
      </c>
      <c r="Q19" s="5">
        <f>IF(AND(E19&gt;=66, E19&lt;=69), 5*N19*(1+Parameters!$B$5)^-(E19-B19), 0)</f>
        <v/>
      </c>
      <c r="R19" s="5">
        <f>IF(E19&lt;=65, L19, 0)</f>
        <v/>
      </c>
      <c r="S19" s="5">
        <f>N19 * (Parameters!$B$6 / Parameters!$B$9)</f>
        <v/>
      </c>
      <c r="T19" s="5">
        <f>P19 + Q19</f>
        <v/>
      </c>
      <c r="U19">
        <f>IF(E19&gt;65, (1-((1+Parameters!$B$10)/(1+Parameters!$B$5))^(E19-65))/(((1+Parameters!$B$5)/(1+Parameters!$B$10))-1), 0)</f>
        <v/>
      </c>
      <c r="V19" s="5">
        <f>S19 * U19 * (1+Parameters!$B$5)^-(65-B19)</f>
        <v/>
      </c>
      <c r="W19" s="5">
        <f>IF(AND(E19&gt;=66, E19&lt;=69), 5*S19*(1+Parameters!$B$5)^-(E19-B19), 0)</f>
        <v/>
      </c>
      <c r="X19" s="5">
        <f>V19 + W19 + R19</f>
        <v/>
      </c>
      <c r="Y19" s="5">
        <f>IF(E19&gt;=65, M19/S19, "")</f>
        <v/>
      </c>
    </row>
    <row r="20">
      <c r="A20" t="n">
        <v>19</v>
      </c>
      <c r="B20" t="n">
        <v>52</v>
      </c>
      <c r="C20" s="5" t="n">
        <v>1890</v>
      </c>
      <c r="D20" t="n">
        <v>0.0479</v>
      </c>
      <c r="E20" t="n">
        <v>69</v>
      </c>
      <c r="F20" s="5" t="n">
        <v>18900</v>
      </c>
      <c r="G20">
        <f>MIN(65-B20, MAX(0, E20-B20))</f>
        <v/>
      </c>
      <c r="H20">
        <f>B20+G20</f>
        <v/>
      </c>
      <c r="I20" s="5">
        <f>F20*(1+D20)^G20</f>
        <v/>
      </c>
      <c r="J20">
        <f>(1+D20)/(1+Parameters!$B$5)</f>
        <v/>
      </c>
      <c r="K20" s="5">
        <f>IF(G20&gt;0, IF(ROUND(J20, 6)=1, G20 * C20 * (1+Parameters!$B$5)^-0.5, C20 * (1-J20^G20)/(1-J20) * (1+Parameters!$B$5)^-0.5), 0)</f>
        <v/>
      </c>
      <c r="L20" s="5">
        <f>K20*(1-Parameters!$B$4)</f>
        <v/>
      </c>
      <c r="M20" s="5">
        <f>L20*(1+Parameters!$B$5)^G20</f>
        <v/>
      </c>
      <c r="N20" s="5">
        <f>IF(E20&gt;=65, (65-B20)*I20/Parameters!$B$6, 0)</f>
        <v/>
      </c>
      <c r="O20">
        <f>IF(E20&gt;65, (1-(1+Parameters!$B$5)^-(E20-65))/Parameters!$B$5, 0)</f>
        <v/>
      </c>
      <c r="P20" s="5">
        <f>N20 * O20 * (1+Parameters!$B$5)^-(65-B20)</f>
        <v/>
      </c>
      <c r="Q20" s="5">
        <f>IF(AND(E20&gt;=66, E20&lt;=69), 5*N20*(1+Parameters!$B$5)^-(E20-B20), 0)</f>
        <v/>
      </c>
      <c r="R20" s="5">
        <f>IF(E20&lt;=65, L20, 0)</f>
        <v/>
      </c>
      <c r="S20" s="5">
        <f>N20 * (Parameters!$B$6 / Parameters!$B$9)</f>
        <v/>
      </c>
      <c r="T20" s="5">
        <f>P20 + Q20</f>
        <v/>
      </c>
      <c r="U20">
        <f>IF(E20&gt;65, (1-((1+Parameters!$B$10)/(1+Parameters!$B$5))^(E20-65))/(((1+Parameters!$B$5)/(1+Parameters!$B$10))-1), 0)</f>
        <v/>
      </c>
      <c r="V20" s="5">
        <f>S20 * U20 * (1+Parameters!$B$5)^-(65-B20)</f>
        <v/>
      </c>
      <c r="W20" s="5">
        <f>IF(AND(E20&gt;=66, E20&lt;=69), 5*S20*(1+Parameters!$B$5)^-(E20-B20), 0)</f>
        <v/>
      </c>
      <c r="X20" s="5">
        <f>V20 + W20 + R20</f>
        <v/>
      </c>
      <c r="Y20" s="5">
        <f>IF(E20&gt;=65, M20/S20, "")</f>
        <v/>
      </c>
    </row>
    <row r="21">
      <c r="A21" t="n">
        <v>20</v>
      </c>
      <c r="B21" t="n">
        <v>22</v>
      </c>
      <c r="C21" s="5" t="n">
        <v>1260</v>
      </c>
      <c r="D21" t="n">
        <v>0.0465</v>
      </c>
      <c r="E21" t="n">
        <v>95</v>
      </c>
      <c r="F21" s="5" t="n">
        <v>12600</v>
      </c>
      <c r="G21">
        <f>MIN(65-B21, MAX(0, E21-B21))</f>
        <v/>
      </c>
      <c r="H21">
        <f>B21+G21</f>
        <v/>
      </c>
      <c r="I21" s="5">
        <f>F21*(1+D21)^G21</f>
        <v/>
      </c>
      <c r="J21">
        <f>(1+D21)/(1+Parameters!$B$5)</f>
        <v/>
      </c>
      <c r="K21" s="5">
        <f>IF(G21&gt;0, IF(ROUND(J21, 6)=1, G21 * C21 * (1+Parameters!$B$5)^-0.5, C21 * (1-J21^G21)/(1-J21) * (1+Parameters!$B$5)^-0.5), 0)</f>
        <v/>
      </c>
      <c r="L21" s="5">
        <f>K21*(1-Parameters!$B$4)</f>
        <v/>
      </c>
      <c r="M21" s="5">
        <f>L21*(1+Parameters!$B$5)^G21</f>
        <v/>
      </c>
      <c r="N21" s="5">
        <f>IF(E21&gt;=65, (65-B21)*I21/Parameters!$B$6, 0)</f>
        <v/>
      </c>
      <c r="O21">
        <f>IF(E21&gt;65, (1-(1+Parameters!$B$5)^-(E21-65))/Parameters!$B$5, 0)</f>
        <v/>
      </c>
      <c r="P21" s="5">
        <f>N21 * O21 * (1+Parameters!$B$5)^-(65-B21)</f>
        <v/>
      </c>
      <c r="Q21" s="5">
        <f>IF(AND(E21&gt;=66, E21&lt;=69), 5*N21*(1+Parameters!$B$5)^-(E21-B21), 0)</f>
        <v/>
      </c>
      <c r="R21" s="5">
        <f>IF(E21&lt;=65, L21, 0)</f>
        <v/>
      </c>
      <c r="S21" s="5">
        <f>N21 * (Parameters!$B$6 / Parameters!$B$9)</f>
        <v/>
      </c>
      <c r="T21" s="5">
        <f>P21 + Q21</f>
        <v/>
      </c>
      <c r="U21">
        <f>IF(E21&gt;65, (1-((1+Parameters!$B$10)/(1+Parameters!$B$5))^(E21-65))/(((1+Parameters!$B$5)/(1+Parameters!$B$10))-1), 0)</f>
        <v/>
      </c>
      <c r="V21" s="5">
        <f>S21 * U21 * (1+Parameters!$B$5)^-(65-B21)</f>
        <v/>
      </c>
      <c r="W21" s="5">
        <f>IF(AND(E21&gt;=66, E21&lt;=69), 5*S21*(1+Parameters!$B$5)^-(E21-B21), 0)</f>
        <v/>
      </c>
      <c r="X21" s="5">
        <f>V21 + W21 + R21</f>
        <v/>
      </c>
      <c r="Y21" s="5">
        <f>IF(E21&gt;=65, M21/S21, "")</f>
        <v/>
      </c>
    </row>
    <row r="22">
      <c r="A22" t="n">
        <v>21</v>
      </c>
      <c r="B22" t="n">
        <v>31</v>
      </c>
      <c r="C22" s="5" t="n">
        <v>3790</v>
      </c>
      <c r="D22" t="n">
        <v>0.0559</v>
      </c>
      <c r="E22" t="n">
        <v>69</v>
      </c>
      <c r="F22" s="5" t="n">
        <v>37900</v>
      </c>
      <c r="G22">
        <f>MIN(65-B22, MAX(0, E22-B22))</f>
        <v/>
      </c>
      <c r="H22">
        <f>B22+G22</f>
        <v/>
      </c>
      <c r="I22" s="5">
        <f>F22*(1+D22)^G22</f>
        <v/>
      </c>
      <c r="J22">
        <f>(1+D22)/(1+Parameters!$B$5)</f>
        <v/>
      </c>
      <c r="K22" s="5">
        <f>IF(G22&gt;0, IF(ROUND(J22, 6)=1, G22 * C22 * (1+Parameters!$B$5)^-0.5, C22 * (1-J22^G22)/(1-J22) * (1+Parameters!$B$5)^-0.5), 0)</f>
        <v/>
      </c>
      <c r="L22" s="5">
        <f>K22*(1-Parameters!$B$4)</f>
        <v/>
      </c>
      <c r="M22" s="5">
        <f>L22*(1+Parameters!$B$5)^G22</f>
        <v/>
      </c>
      <c r="N22" s="5">
        <f>IF(E22&gt;=65, (65-B22)*I22/Parameters!$B$6, 0)</f>
        <v/>
      </c>
      <c r="O22">
        <f>IF(E22&gt;65, (1-(1+Parameters!$B$5)^-(E22-65))/Parameters!$B$5, 0)</f>
        <v/>
      </c>
      <c r="P22" s="5">
        <f>N22 * O22 * (1+Parameters!$B$5)^-(65-B22)</f>
        <v/>
      </c>
      <c r="Q22" s="5">
        <f>IF(AND(E22&gt;=66, E22&lt;=69), 5*N22*(1+Parameters!$B$5)^-(E22-B22), 0)</f>
        <v/>
      </c>
      <c r="R22" s="5">
        <f>IF(E22&lt;=65, L22, 0)</f>
        <v/>
      </c>
      <c r="S22" s="5">
        <f>N22 * (Parameters!$B$6 / Parameters!$B$9)</f>
        <v/>
      </c>
      <c r="T22" s="5">
        <f>P22 + Q22</f>
        <v/>
      </c>
      <c r="U22">
        <f>IF(E22&gt;65, (1-((1+Parameters!$B$10)/(1+Parameters!$B$5))^(E22-65))/(((1+Parameters!$B$5)/(1+Parameters!$B$10))-1), 0)</f>
        <v/>
      </c>
      <c r="V22" s="5">
        <f>S22 * U22 * (1+Parameters!$B$5)^-(65-B22)</f>
        <v/>
      </c>
      <c r="W22" s="5">
        <f>IF(AND(E22&gt;=66, E22&lt;=69), 5*S22*(1+Parameters!$B$5)^-(E22-B22), 0)</f>
        <v/>
      </c>
      <c r="X22" s="5">
        <f>V22 + W22 + R22</f>
        <v/>
      </c>
      <c r="Y22" s="5">
        <f>IF(E22&gt;=65, M22/S22, "")</f>
        <v/>
      </c>
    </row>
    <row r="23">
      <c r="A23" t="n">
        <v>22</v>
      </c>
      <c r="B23" t="n">
        <v>56</v>
      </c>
      <c r="C23" s="5" t="n">
        <v>15660</v>
      </c>
      <c r="D23" t="n">
        <v>0.0515</v>
      </c>
      <c r="E23" t="n">
        <v>82</v>
      </c>
      <c r="F23" s="5" t="n">
        <v>156600</v>
      </c>
      <c r="G23">
        <f>MIN(65-B23, MAX(0, E23-B23))</f>
        <v/>
      </c>
      <c r="H23">
        <f>B23+G23</f>
        <v/>
      </c>
      <c r="I23" s="5">
        <f>F23*(1+D23)^G23</f>
        <v/>
      </c>
      <c r="J23">
        <f>(1+D23)/(1+Parameters!$B$5)</f>
        <v/>
      </c>
      <c r="K23" s="5">
        <f>IF(G23&gt;0, IF(ROUND(J23, 6)=1, G23 * C23 * (1+Parameters!$B$5)^-0.5, C23 * (1-J23^G23)/(1-J23) * (1+Parameters!$B$5)^-0.5), 0)</f>
        <v/>
      </c>
      <c r="L23" s="5">
        <f>K23*(1-Parameters!$B$4)</f>
        <v/>
      </c>
      <c r="M23" s="5">
        <f>L23*(1+Parameters!$B$5)^G23</f>
        <v/>
      </c>
      <c r="N23" s="5">
        <f>IF(E23&gt;=65, (65-B23)*I23/Parameters!$B$6, 0)</f>
        <v/>
      </c>
      <c r="O23">
        <f>IF(E23&gt;65, (1-(1+Parameters!$B$5)^-(E23-65))/Parameters!$B$5, 0)</f>
        <v/>
      </c>
      <c r="P23" s="5">
        <f>N23 * O23 * (1+Parameters!$B$5)^-(65-B23)</f>
        <v/>
      </c>
      <c r="Q23" s="5">
        <f>IF(AND(E23&gt;=66, E23&lt;=69), 5*N23*(1+Parameters!$B$5)^-(E23-B23), 0)</f>
        <v/>
      </c>
      <c r="R23" s="5">
        <f>IF(E23&lt;=65, L23, 0)</f>
        <v/>
      </c>
      <c r="S23" s="5">
        <f>N23 * (Parameters!$B$6 / Parameters!$B$9)</f>
        <v/>
      </c>
      <c r="T23" s="5">
        <f>P23 + Q23</f>
        <v/>
      </c>
      <c r="U23">
        <f>IF(E23&gt;65, (1-((1+Parameters!$B$10)/(1+Parameters!$B$5))^(E23-65))/(((1+Parameters!$B$5)/(1+Parameters!$B$10))-1), 0)</f>
        <v/>
      </c>
      <c r="V23" s="5">
        <f>S23 * U23 * (1+Parameters!$B$5)^-(65-B23)</f>
        <v/>
      </c>
      <c r="W23" s="5">
        <f>IF(AND(E23&gt;=66, E23&lt;=69), 5*S23*(1+Parameters!$B$5)^-(E23-B23), 0)</f>
        <v/>
      </c>
      <c r="X23" s="5">
        <f>V23 + W23 + R23</f>
        <v/>
      </c>
      <c r="Y23" s="5">
        <f>IF(E23&gt;=65, M23/S23, "")</f>
        <v/>
      </c>
    </row>
    <row r="24">
      <c r="A24" t="n">
        <v>23</v>
      </c>
      <c r="B24" t="n">
        <v>19</v>
      </c>
      <c r="C24" s="5" t="n">
        <v>1420</v>
      </c>
      <c r="D24" t="n">
        <v>0.0248</v>
      </c>
      <c r="E24" t="n">
        <v>98</v>
      </c>
      <c r="F24" s="5" t="n">
        <v>14200</v>
      </c>
      <c r="G24">
        <f>MIN(65-B24, MAX(0, E24-B24))</f>
        <v/>
      </c>
      <c r="H24">
        <f>B24+G24</f>
        <v/>
      </c>
      <c r="I24" s="5">
        <f>F24*(1+D24)^G24</f>
        <v/>
      </c>
      <c r="J24">
        <f>(1+D24)/(1+Parameters!$B$5)</f>
        <v/>
      </c>
      <c r="K24" s="5">
        <f>IF(G24&gt;0, IF(ROUND(J24, 6)=1, G24 * C24 * (1+Parameters!$B$5)^-0.5, C24 * (1-J24^G24)/(1-J24) * (1+Parameters!$B$5)^-0.5), 0)</f>
        <v/>
      </c>
      <c r="L24" s="5">
        <f>K24*(1-Parameters!$B$4)</f>
        <v/>
      </c>
      <c r="M24" s="5">
        <f>L24*(1+Parameters!$B$5)^G24</f>
        <v/>
      </c>
      <c r="N24" s="5">
        <f>IF(E24&gt;=65, (65-B24)*I24/Parameters!$B$6, 0)</f>
        <v/>
      </c>
      <c r="O24">
        <f>IF(E24&gt;65, (1-(1+Parameters!$B$5)^-(E24-65))/Parameters!$B$5, 0)</f>
        <v/>
      </c>
      <c r="P24" s="5">
        <f>N24 * O24 * (1+Parameters!$B$5)^-(65-B24)</f>
        <v/>
      </c>
      <c r="Q24" s="5">
        <f>IF(AND(E24&gt;=66, E24&lt;=69), 5*N24*(1+Parameters!$B$5)^-(E24-B24), 0)</f>
        <v/>
      </c>
      <c r="R24" s="5">
        <f>IF(E24&lt;=65, L24, 0)</f>
        <v/>
      </c>
      <c r="S24" s="5">
        <f>N24 * (Parameters!$B$6 / Parameters!$B$9)</f>
        <v/>
      </c>
      <c r="T24" s="5">
        <f>P24 + Q24</f>
        <v/>
      </c>
      <c r="U24">
        <f>IF(E24&gt;65, (1-((1+Parameters!$B$10)/(1+Parameters!$B$5))^(E24-65))/(((1+Parameters!$B$5)/(1+Parameters!$B$10))-1), 0)</f>
        <v/>
      </c>
      <c r="V24" s="5">
        <f>S24 * U24 * (1+Parameters!$B$5)^-(65-B24)</f>
        <v/>
      </c>
      <c r="W24" s="5">
        <f>IF(AND(E24&gt;=66, E24&lt;=69), 5*S24*(1+Parameters!$B$5)^-(E24-B24), 0)</f>
        <v/>
      </c>
      <c r="X24" s="5">
        <f>V24 + W24 + R24</f>
        <v/>
      </c>
      <c r="Y24" s="5">
        <f>IF(E24&gt;=65, M24/S24, "")</f>
        <v/>
      </c>
    </row>
    <row r="25">
      <c r="A25" t="n">
        <v>24</v>
      </c>
      <c r="B25" t="n">
        <v>46</v>
      </c>
      <c r="C25" s="5" t="n">
        <v>7200</v>
      </c>
      <c r="D25" t="n">
        <v>0.0429</v>
      </c>
      <c r="E25" t="n">
        <v>75</v>
      </c>
      <c r="F25" s="5" t="n">
        <v>72000</v>
      </c>
      <c r="G25">
        <f>MIN(65-B25, MAX(0, E25-B25))</f>
        <v/>
      </c>
      <c r="H25">
        <f>B25+G25</f>
        <v/>
      </c>
      <c r="I25" s="5">
        <f>F25*(1+D25)^G25</f>
        <v/>
      </c>
      <c r="J25">
        <f>(1+D25)/(1+Parameters!$B$5)</f>
        <v/>
      </c>
      <c r="K25" s="5">
        <f>IF(G25&gt;0, IF(ROUND(J25, 6)=1, G25 * C25 * (1+Parameters!$B$5)^-0.5, C25 * (1-J25^G25)/(1-J25) * (1+Parameters!$B$5)^-0.5), 0)</f>
        <v/>
      </c>
      <c r="L25" s="5">
        <f>K25*(1-Parameters!$B$4)</f>
        <v/>
      </c>
      <c r="M25" s="5">
        <f>L25*(1+Parameters!$B$5)^G25</f>
        <v/>
      </c>
      <c r="N25" s="5">
        <f>IF(E25&gt;=65, (65-B25)*I25/Parameters!$B$6, 0)</f>
        <v/>
      </c>
      <c r="O25">
        <f>IF(E25&gt;65, (1-(1+Parameters!$B$5)^-(E25-65))/Parameters!$B$5, 0)</f>
        <v/>
      </c>
      <c r="P25" s="5">
        <f>N25 * O25 * (1+Parameters!$B$5)^-(65-B25)</f>
        <v/>
      </c>
      <c r="Q25" s="5">
        <f>IF(AND(E25&gt;=66, E25&lt;=69), 5*N25*(1+Parameters!$B$5)^-(E25-B25), 0)</f>
        <v/>
      </c>
      <c r="R25" s="5">
        <f>IF(E25&lt;=65, L25, 0)</f>
        <v/>
      </c>
      <c r="S25" s="5">
        <f>N25 * (Parameters!$B$6 / Parameters!$B$9)</f>
        <v/>
      </c>
      <c r="T25" s="5">
        <f>P25 + Q25</f>
        <v/>
      </c>
      <c r="U25">
        <f>IF(E25&gt;65, (1-((1+Parameters!$B$10)/(1+Parameters!$B$5))^(E25-65))/(((1+Parameters!$B$5)/(1+Parameters!$B$10))-1), 0)</f>
        <v/>
      </c>
      <c r="V25" s="5">
        <f>S25 * U25 * (1+Parameters!$B$5)^-(65-B25)</f>
        <v/>
      </c>
      <c r="W25" s="5">
        <f>IF(AND(E25&gt;=66, E25&lt;=69), 5*S25*(1+Parameters!$B$5)^-(E25-B25), 0)</f>
        <v/>
      </c>
      <c r="X25" s="5">
        <f>V25 + W25 + R25</f>
        <v/>
      </c>
      <c r="Y25" s="5">
        <f>IF(E25&gt;=65, M25/S25, "")</f>
        <v/>
      </c>
    </row>
    <row r="26">
      <c r="A26" t="n">
        <v>25</v>
      </c>
      <c r="B26" t="n">
        <v>25</v>
      </c>
      <c r="C26" s="5" t="n">
        <v>2870</v>
      </c>
      <c r="D26" t="n">
        <v>0.0427</v>
      </c>
      <c r="E26" t="n">
        <v>89</v>
      </c>
      <c r="F26" s="5" t="n">
        <v>28700</v>
      </c>
      <c r="G26">
        <f>MIN(65-B26, MAX(0, E26-B26))</f>
        <v/>
      </c>
      <c r="H26">
        <f>B26+G26</f>
        <v/>
      </c>
      <c r="I26" s="5">
        <f>F26*(1+D26)^G26</f>
        <v/>
      </c>
      <c r="J26">
        <f>(1+D26)/(1+Parameters!$B$5)</f>
        <v/>
      </c>
      <c r="K26" s="5">
        <f>IF(G26&gt;0, IF(ROUND(J26, 6)=1, G26 * C26 * (1+Parameters!$B$5)^-0.5, C26 * (1-J26^G26)/(1-J26) * (1+Parameters!$B$5)^-0.5), 0)</f>
        <v/>
      </c>
      <c r="L26" s="5">
        <f>K26*(1-Parameters!$B$4)</f>
        <v/>
      </c>
      <c r="M26" s="5">
        <f>L26*(1+Parameters!$B$5)^G26</f>
        <v/>
      </c>
      <c r="N26" s="5">
        <f>IF(E26&gt;=65, (65-B26)*I26/Parameters!$B$6, 0)</f>
        <v/>
      </c>
      <c r="O26">
        <f>IF(E26&gt;65, (1-(1+Parameters!$B$5)^-(E26-65))/Parameters!$B$5, 0)</f>
        <v/>
      </c>
      <c r="P26" s="5">
        <f>N26 * O26 * (1+Parameters!$B$5)^-(65-B26)</f>
        <v/>
      </c>
      <c r="Q26" s="5">
        <f>IF(AND(E26&gt;=66, E26&lt;=69), 5*N26*(1+Parameters!$B$5)^-(E26-B26), 0)</f>
        <v/>
      </c>
      <c r="R26" s="5">
        <f>IF(E26&lt;=65, L26, 0)</f>
        <v/>
      </c>
      <c r="S26" s="5">
        <f>N26 * (Parameters!$B$6 / Parameters!$B$9)</f>
        <v/>
      </c>
      <c r="T26" s="5">
        <f>P26 + Q26</f>
        <v/>
      </c>
      <c r="U26">
        <f>IF(E26&gt;65, (1-((1+Parameters!$B$10)/(1+Parameters!$B$5))^(E26-65))/(((1+Parameters!$B$5)/(1+Parameters!$B$10))-1), 0)</f>
        <v/>
      </c>
      <c r="V26" s="5">
        <f>S26 * U26 * (1+Parameters!$B$5)^-(65-B26)</f>
        <v/>
      </c>
      <c r="W26" s="5">
        <f>IF(AND(E26&gt;=66, E26&lt;=69), 5*S26*(1+Parameters!$B$5)^-(E26-B26), 0)</f>
        <v/>
      </c>
      <c r="X26" s="5">
        <f>V26 + W26 + R26</f>
        <v/>
      </c>
      <c r="Y26" s="5">
        <f>IF(E26&gt;=65, M26/S26, "")</f>
        <v/>
      </c>
    </row>
    <row r="27">
      <c r="A27" t="n">
        <v>26</v>
      </c>
      <c r="B27" t="n">
        <v>55</v>
      </c>
      <c r="C27" s="5" t="n">
        <v>2110</v>
      </c>
      <c r="D27" t="n">
        <v>0.0392</v>
      </c>
      <c r="E27" t="n">
        <v>76</v>
      </c>
      <c r="F27" s="5" t="n">
        <v>21100</v>
      </c>
      <c r="G27">
        <f>MIN(65-B27, MAX(0, E27-B27))</f>
        <v/>
      </c>
      <c r="H27">
        <f>B27+G27</f>
        <v/>
      </c>
      <c r="I27" s="5">
        <f>F27*(1+D27)^G27</f>
        <v/>
      </c>
      <c r="J27">
        <f>(1+D27)/(1+Parameters!$B$5)</f>
        <v/>
      </c>
      <c r="K27" s="5">
        <f>IF(G27&gt;0, IF(ROUND(J27, 6)=1, G27 * C27 * (1+Parameters!$B$5)^-0.5, C27 * (1-J27^G27)/(1-J27) * (1+Parameters!$B$5)^-0.5), 0)</f>
        <v/>
      </c>
      <c r="L27" s="5">
        <f>K27*(1-Parameters!$B$4)</f>
        <v/>
      </c>
      <c r="M27" s="5">
        <f>L27*(1+Parameters!$B$5)^G27</f>
        <v/>
      </c>
      <c r="N27" s="5">
        <f>IF(E27&gt;=65, (65-B27)*I27/Parameters!$B$6, 0)</f>
        <v/>
      </c>
      <c r="O27">
        <f>IF(E27&gt;65, (1-(1+Parameters!$B$5)^-(E27-65))/Parameters!$B$5, 0)</f>
        <v/>
      </c>
      <c r="P27" s="5">
        <f>N27 * O27 * (1+Parameters!$B$5)^-(65-B27)</f>
        <v/>
      </c>
      <c r="Q27" s="5">
        <f>IF(AND(E27&gt;=66, E27&lt;=69), 5*N27*(1+Parameters!$B$5)^-(E27-B27), 0)</f>
        <v/>
      </c>
      <c r="R27" s="5">
        <f>IF(E27&lt;=65, L27, 0)</f>
        <v/>
      </c>
      <c r="S27" s="5">
        <f>N27 * (Parameters!$B$6 / Parameters!$B$9)</f>
        <v/>
      </c>
      <c r="T27" s="5">
        <f>P27 + Q27</f>
        <v/>
      </c>
      <c r="U27">
        <f>IF(E27&gt;65, (1-((1+Parameters!$B$10)/(1+Parameters!$B$5))^(E27-65))/(((1+Parameters!$B$5)/(1+Parameters!$B$10))-1), 0)</f>
        <v/>
      </c>
      <c r="V27" s="5">
        <f>S27 * U27 * (1+Parameters!$B$5)^-(65-B27)</f>
        <v/>
      </c>
      <c r="W27" s="5">
        <f>IF(AND(E27&gt;=66, E27&lt;=69), 5*S27*(1+Parameters!$B$5)^-(E27-B27), 0)</f>
        <v/>
      </c>
      <c r="X27" s="5">
        <f>V27 + W27 + R27</f>
        <v/>
      </c>
      <c r="Y27" s="5">
        <f>IF(E27&gt;=65, M27/S27, "")</f>
        <v/>
      </c>
    </row>
    <row r="28">
      <c r="A28" t="n">
        <v>27</v>
      </c>
      <c r="B28" t="n">
        <v>28</v>
      </c>
      <c r="C28" s="5" t="n">
        <v>3980</v>
      </c>
      <c r="D28" t="n">
        <v>0.0133</v>
      </c>
      <c r="E28" t="n">
        <v>80</v>
      </c>
      <c r="F28" s="5" t="n">
        <v>39800</v>
      </c>
      <c r="G28">
        <f>MIN(65-B28, MAX(0, E28-B28))</f>
        <v/>
      </c>
      <c r="H28">
        <f>B28+G28</f>
        <v/>
      </c>
      <c r="I28" s="5">
        <f>F28*(1+D28)^G28</f>
        <v/>
      </c>
      <c r="J28">
        <f>(1+D28)/(1+Parameters!$B$5)</f>
        <v/>
      </c>
      <c r="K28" s="5">
        <f>IF(G28&gt;0, IF(ROUND(J28, 6)=1, G28 * C28 * (1+Parameters!$B$5)^-0.5, C28 * (1-J28^G28)/(1-J28) * (1+Parameters!$B$5)^-0.5), 0)</f>
        <v/>
      </c>
      <c r="L28" s="5">
        <f>K28*(1-Parameters!$B$4)</f>
        <v/>
      </c>
      <c r="M28" s="5">
        <f>L28*(1+Parameters!$B$5)^G28</f>
        <v/>
      </c>
      <c r="N28" s="5">
        <f>IF(E28&gt;=65, (65-B28)*I28/Parameters!$B$6, 0)</f>
        <v/>
      </c>
      <c r="O28">
        <f>IF(E28&gt;65, (1-(1+Parameters!$B$5)^-(E28-65))/Parameters!$B$5, 0)</f>
        <v/>
      </c>
      <c r="P28" s="5">
        <f>N28 * O28 * (1+Parameters!$B$5)^-(65-B28)</f>
        <v/>
      </c>
      <c r="Q28" s="5">
        <f>IF(AND(E28&gt;=66, E28&lt;=69), 5*N28*(1+Parameters!$B$5)^-(E28-B28), 0)</f>
        <v/>
      </c>
      <c r="R28" s="5">
        <f>IF(E28&lt;=65, L28, 0)</f>
        <v/>
      </c>
      <c r="S28" s="5">
        <f>N28 * (Parameters!$B$6 / Parameters!$B$9)</f>
        <v/>
      </c>
      <c r="T28" s="5">
        <f>P28 + Q28</f>
        <v/>
      </c>
      <c r="U28">
        <f>IF(E28&gt;65, (1-((1+Parameters!$B$10)/(1+Parameters!$B$5))^(E28-65))/(((1+Parameters!$B$5)/(1+Parameters!$B$10))-1), 0)</f>
        <v/>
      </c>
      <c r="V28" s="5">
        <f>S28 * U28 * (1+Parameters!$B$5)^-(65-B28)</f>
        <v/>
      </c>
      <c r="W28" s="5">
        <f>IF(AND(E28&gt;=66, E28&lt;=69), 5*S28*(1+Parameters!$B$5)^-(E28-B28), 0)</f>
        <v/>
      </c>
      <c r="X28" s="5">
        <f>V28 + W28 + R28</f>
        <v/>
      </c>
      <c r="Y28" s="5">
        <f>IF(E28&gt;=65, M28/S28, "")</f>
        <v/>
      </c>
    </row>
    <row r="29">
      <c r="A29" t="n">
        <v>28</v>
      </c>
      <c r="B29" t="n">
        <v>58</v>
      </c>
      <c r="C29" s="5" t="n">
        <v>15180</v>
      </c>
      <c r="D29" t="n">
        <v>0.0288</v>
      </c>
      <c r="E29" t="n">
        <v>79</v>
      </c>
      <c r="F29" s="5" t="n">
        <v>151800</v>
      </c>
      <c r="G29">
        <f>MIN(65-B29, MAX(0, E29-B29))</f>
        <v/>
      </c>
      <c r="H29">
        <f>B29+G29</f>
        <v/>
      </c>
      <c r="I29" s="5">
        <f>F29*(1+D29)^G29</f>
        <v/>
      </c>
      <c r="J29">
        <f>(1+D29)/(1+Parameters!$B$5)</f>
        <v/>
      </c>
      <c r="K29" s="5">
        <f>IF(G29&gt;0, IF(ROUND(J29, 6)=1, G29 * C29 * (1+Parameters!$B$5)^-0.5, C29 * (1-J29^G29)/(1-J29) * (1+Parameters!$B$5)^-0.5), 0)</f>
        <v/>
      </c>
      <c r="L29" s="5">
        <f>K29*(1-Parameters!$B$4)</f>
        <v/>
      </c>
      <c r="M29" s="5">
        <f>L29*(1+Parameters!$B$5)^G29</f>
        <v/>
      </c>
      <c r="N29" s="5">
        <f>IF(E29&gt;=65, (65-B29)*I29/Parameters!$B$6, 0)</f>
        <v/>
      </c>
      <c r="O29">
        <f>IF(E29&gt;65, (1-(1+Parameters!$B$5)^-(E29-65))/Parameters!$B$5, 0)</f>
        <v/>
      </c>
      <c r="P29" s="5">
        <f>N29 * O29 * (1+Parameters!$B$5)^-(65-B29)</f>
        <v/>
      </c>
      <c r="Q29" s="5">
        <f>IF(AND(E29&gt;=66, E29&lt;=69), 5*N29*(1+Parameters!$B$5)^-(E29-B29), 0)</f>
        <v/>
      </c>
      <c r="R29" s="5">
        <f>IF(E29&lt;=65, L29, 0)</f>
        <v/>
      </c>
      <c r="S29" s="5">
        <f>N29 * (Parameters!$B$6 / Parameters!$B$9)</f>
        <v/>
      </c>
      <c r="T29" s="5">
        <f>P29 + Q29</f>
        <v/>
      </c>
      <c r="U29">
        <f>IF(E29&gt;65, (1-((1+Parameters!$B$10)/(1+Parameters!$B$5))^(E29-65))/(((1+Parameters!$B$5)/(1+Parameters!$B$10))-1), 0)</f>
        <v/>
      </c>
      <c r="V29" s="5">
        <f>S29 * U29 * (1+Parameters!$B$5)^-(65-B29)</f>
        <v/>
      </c>
      <c r="W29" s="5">
        <f>IF(AND(E29&gt;=66, E29&lt;=69), 5*S29*(1+Parameters!$B$5)^-(E29-B29), 0)</f>
        <v/>
      </c>
      <c r="X29" s="5">
        <f>V29 + W29 + R29</f>
        <v/>
      </c>
      <c r="Y29" s="5">
        <f>IF(E29&gt;=65, M29/S29, "")</f>
        <v/>
      </c>
    </row>
    <row r="30">
      <c r="A30" t="n">
        <v>29</v>
      </c>
      <c r="B30" t="n">
        <v>41</v>
      </c>
      <c r="C30" s="5" t="n">
        <v>2320</v>
      </c>
      <c r="D30" t="n">
        <v>0.0515</v>
      </c>
      <c r="E30" t="n">
        <v>59</v>
      </c>
      <c r="F30" s="5" t="n">
        <v>23200</v>
      </c>
      <c r="G30">
        <f>MIN(65-B30, MAX(0, E30-B30))</f>
        <v/>
      </c>
      <c r="H30">
        <f>B30+G30</f>
        <v/>
      </c>
      <c r="I30" s="5">
        <f>F30*(1+D30)^G30</f>
        <v/>
      </c>
      <c r="J30">
        <f>(1+D30)/(1+Parameters!$B$5)</f>
        <v/>
      </c>
      <c r="K30" s="5">
        <f>IF(G30&gt;0, IF(ROUND(J30, 6)=1, G30 * C30 * (1+Parameters!$B$5)^-0.5, C30 * (1-J30^G30)/(1-J30) * (1+Parameters!$B$5)^-0.5), 0)</f>
        <v/>
      </c>
      <c r="L30" s="5">
        <f>K30*(1-Parameters!$B$4)</f>
        <v/>
      </c>
      <c r="M30" s="5">
        <f>L30*(1+Parameters!$B$5)^G30</f>
        <v/>
      </c>
      <c r="N30" s="5">
        <f>IF(E30&gt;=65, (65-B30)*I30/Parameters!$B$6, 0)</f>
        <v/>
      </c>
      <c r="O30">
        <f>IF(E30&gt;65, (1-(1+Parameters!$B$5)^-(E30-65))/Parameters!$B$5, 0)</f>
        <v/>
      </c>
      <c r="P30" s="5">
        <f>N30 * O30 * (1+Parameters!$B$5)^-(65-B30)</f>
        <v/>
      </c>
      <c r="Q30" s="5">
        <f>IF(AND(E30&gt;=66, E30&lt;=69), 5*N30*(1+Parameters!$B$5)^-(E30-B30), 0)</f>
        <v/>
      </c>
      <c r="R30" s="5">
        <f>IF(E30&lt;=65, L30, 0)</f>
        <v/>
      </c>
      <c r="S30" s="5">
        <f>N30 * (Parameters!$B$6 / Parameters!$B$9)</f>
        <v/>
      </c>
      <c r="T30" s="5">
        <f>P30 + Q30</f>
        <v/>
      </c>
      <c r="U30">
        <f>IF(E30&gt;65, (1-((1+Parameters!$B$10)/(1+Parameters!$B$5))^(E30-65))/(((1+Parameters!$B$5)/(1+Parameters!$B$10))-1), 0)</f>
        <v/>
      </c>
      <c r="V30" s="5">
        <f>S30 * U30 * (1+Parameters!$B$5)^-(65-B30)</f>
        <v/>
      </c>
      <c r="W30" s="5">
        <f>IF(AND(E30&gt;=66, E30&lt;=69), 5*S30*(1+Parameters!$B$5)^-(E30-B30), 0)</f>
        <v/>
      </c>
      <c r="X30" s="5">
        <f>V30 + W30 + R30</f>
        <v/>
      </c>
      <c r="Y30" s="5">
        <f>IF(E30&gt;=65, M30/S30, "")</f>
        <v/>
      </c>
    </row>
    <row r="31">
      <c r="A31" t="n">
        <v>30</v>
      </c>
      <c r="B31" t="n">
        <v>49</v>
      </c>
      <c r="C31" s="5" t="n">
        <v>4380</v>
      </c>
      <c r="D31" t="n">
        <v>0.0357</v>
      </c>
      <c r="E31" t="n">
        <v>82</v>
      </c>
      <c r="F31" s="5" t="n">
        <v>43800</v>
      </c>
      <c r="G31">
        <f>MIN(65-B31, MAX(0, E31-B31))</f>
        <v/>
      </c>
      <c r="H31">
        <f>B31+G31</f>
        <v/>
      </c>
      <c r="I31" s="5">
        <f>F31*(1+D31)^G31</f>
        <v/>
      </c>
      <c r="J31">
        <f>(1+D31)/(1+Parameters!$B$5)</f>
        <v/>
      </c>
      <c r="K31" s="5">
        <f>IF(G31&gt;0, IF(ROUND(J31, 6)=1, G31 * C31 * (1+Parameters!$B$5)^-0.5, C31 * (1-J31^G31)/(1-J31) * (1+Parameters!$B$5)^-0.5), 0)</f>
        <v/>
      </c>
      <c r="L31" s="5">
        <f>K31*(1-Parameters!$B$4)</f>
        <v/>
      </c>
      <c r="M31" s="5">
        <f>L31*(1+Parameters!$B$5)^G31</f>
        <v/>
      </c>
      <c r="N31" s="5">
        <f>IF(E31&gt;=65, (65-B31)*I31/Parameters!$B$6, 0)</f>
        <v/>
      </c>
      <c r="O31">
        <f>IF(E31&gt;65, (1-(1+Parameters!$B$5)^-(E31-65))/Parameters!$B$5, 0)</f>
        <v/>
      </c>
      <c r="P31" s="5">
        <f>N31 * O31 * (1+Parameters!$B$5)^-(65-B31)</f>
        <v/>
      </c>
      <c r="Q31" s="5">
        <f>IF(AND(E31&gt;=66, E31&lt;=69), 5*N31*(1+Parameters!$B$5)^-(E31-B31), 0)</f>
        <v/>
      </c>
      <c r="R31" s="5">
        <f>IF(E31&lt;=65, L31, 0)</f>
        <v/>
      </c>
      <c r="S31" s="5">
        <f>N31 * (Parameters!$B$6 / Parameters!$B$9)</f>
        <v/>
      </c>
      <c r="T31" s="5">
        <f>P31 + Q31</f>
        <v/>
      </c>
      <c r="U31">
        <f>IF(E31&gt;65, (1-((1+Parameters!$B$10)/(1+Parameters!$B$5))^(E31-65))/(((1+Parameters!$B$5)/(1+Parameters!$B$10))-1), 0)</f>
        <v/>
      </c>
      <c r="V31" s="5">
        <f>S31 * U31 * (1+Parameters!$B$5)^-(65-B31)</f>
        <v/>
      </c>
      <c r="W31" s="5">
        <f>IF(AND(E31&gt;=66, E31&lt;=69), 5*S31*(1+Parameters!$B$5)^-(E31-B31), 0)</f>
        <v/>
      </c>
      <c r="X31" s="5">
        <f>V31 + W31 + R31</f>
        <v/>
      </c>
      <c r="Y31" s="5">
        <f>IF(E31&gt;=65, M31/S31, "")</f>
        <v/>
      </c>
    </row>
    <row r="32">
      <c r="A32" t="n">
        <v>31</v>
      </c>
      <c r="B32" t="n">
        <v>21</v>
      </c>
      <c r="C32" s="5" t="n">
        <v>2590</v>
      </c>
      <c r="D32" t="n">
        <v>0.0529</v>
      </c>
      <c r="E32" t="n">
        <v>96</v>
      </c>
      <c r="F32" s="5" t="n">
        <v>25900</v>
      </c>
      <c r="G32">
        <f>MIN(65-B32, MAX(0, E32-B32))</f>
        <v/>
      </c>
      <c r="H32">
        <f>B32+G32</f>
        <v/>
      </c>
      <c r="I32" s="5">
        <f>F32*(1+D32)^G32</f>
        <v/>
      </c>
      <c r="J32">
        <f>(1+D32)/(1+Parameters!$B$5)</f>
        <v/>
      </c>
      <c r="K32" s="5">
        <f>IF(G32&gt;0, IF(ROUND(J32, 6)=1, G32 * C32 * (1+Parameters!$B$5)^-0.5, C32 * (1-J32^G32)/(1-J32) * (1+Parameters!$B$5)^-0.5), 0)</f>
        <v/>
      </c>
      <c r="L32" s="5">
        <f>K32*(1-Parameters!$B$4)</f>
        <v/>
      </c>
      <c r="M32" s="5">
        <f>L32*(1+Parameters!$B$5)^G32</f>
        <v/>
      </c>
      <c r="N32" s="5">
        <f>IF(E32&gt;=65, (65-B32)*I32/Parameters!$B$6, 0)</f>
        <v/>
      </c>
      <c r="O32">
        <f>IF(E32&gt;65, (1-(1+Parameters!$B$5)^-(E32-65))/Parameters!$B$5, 0)</f>
        <v/>
      </c>
      <c r="P32" s="5">
        <f>N32 * O32 * (1+Parameters!$B$5)^-(65-B32)</f>
        <v/>
      </c>
      <c r="Q32" s="5">
        <f>IF(AND(E32&gt;=66, E32&lt;=69), 5*N32*(1+Parameters!$B$5)^-(E32-B32), 0)</f>
        <v/>
      </c>
      <c r="R32" s="5">
        <f>IF(E32&lt;=65, L32, 0)</f>
        <v/>
      </c>
      <c r="S32" s="5">
        <f>N32 * (Parameters!$B$6 / Parameters!$B$9)</f>
        <v/>
      </c>
      <c r="T32" s="5">
        <f>P32 + Q32</f>
        <v/>
      </c>
      <c r="U32">
        <f>IF(E32&gt;65, (1-((1+Parameters!$B$10)/(1+Parameters!$B$5))^(E32-65))/(((1+Parameters!$B$5)/(1+Parameters!$B$10))-1), 0)</f>
        <v/>
      </c>
      <c r="V32" s="5">
        <f>S32 * U32 * (1+Parameters!$B$5)^-(65-B32)</f>
        <v/>
      </c>
      <c r="W32" s="5">
        <f>IF(AND(E32&gt;=66, E32&lt;=69), 5*S32*(1+Parameters!$B$5)^-(E32-B32), 0)</f>
        <v/>
      </c>
      <c r="X32" s="5">
        <f>V32 + W32 + R32</f>
        <v/>
      </c>
      <c r="Y32" s="5">
        <f>IF(E32&gt;=65, M32/S32, "")</f>
        <v/>
      </c>
    </row>
    <row r="33">
      <c r="A33" t="n">
        <v>32</v>
      </c>
      <c r="B33" t="n">
        <v>34</v>
      </c>
      <c r="C33" s="5" t="n">
        <v>5560</v>
      </c>
      <c r="D33" t="n">
        <v>0.0198</v>
      </c>
      <c r="E33" t="n">
        <v>71</v>
      </c>
      <c r="F33" s="5" t="n">
        <v>55600</v>
      </c>
      <c r="G33">
        <f>MIN(65-B33, MAX(0, E33-B33))</f>
        <v/>
      </c>
      <c r="H33">
        <f>B33+G33</f>
        <v/>
      </c>
      <c r="I33" s="5">
        <f>F33*(1+D33)^G33</f>
        <v/>
      </c>
      <c r="J33">
        <f>(1+D33)/(1+Parameters!$B$5)</f>
        <v/>
      </c>
      <c r="K33" s="5">
        <f>IF(G33&gt;0, IF(ROUND(J33, 6)=1, G33 * C33 * (1+Parameters!$B$5)^-0.5, C33 * (1-J33^G33)/(1-J33) * (1+Parameters!$B$5)^-0.5), 0)</f>
        <v/>
      </c>
      <c r="L33" s="5">
        <f>K33*(1-Parameters!$B$4)</f>
        <v/>
      </c>
      <c r="M33" s="5">
        <f>L33*(1+Parameters!$B$5)^G33</f>
        <v/>
      </c>
      <c r="N33" s="5">
        <f>IF(E33&gt;=65, (65-B33)*I33/Parameters!$B$6, 0)</f>
        <v/>
      </c>
      <c r="O33">
        <f>IF(E33&gt;65, (1-(1+Parameters!$B$5)^-(E33-65))/Parameters!$B$5, 0)</f>
        <v/>
      </c>
      <c r="P33" s="5">
        <f>N33 * O33 * (1+Parameters!$B$5)^-(65-B33)</f>
        <v/>
      </c>
      <c r="Q33" s="5">
        <f>IF(AND(E33&gt;=66, E33&lt;=69), 5*N33*(1+Parameters!$B$5)^-(E33-B33), 0)</f>
        <v/>
      </c>
      <c r="R33" s="5">
        <f>IF(E33&lt;=65, L33, 0)</f>
        <v/>
      </c>
      <c r="S33" s="5">
        <f>N33 * (Parameters!$B$6 / Parameters!$B$9)</f>
        <v/>
      </c>
      <c r="T33" s="5">
        <f>P33 + Q33</f>
        <v/>
      </c>
      <c r="U33">
        <f>IF(E33&gt;65, (1-((1+Parameters!$B$10)/(1+Parameters!$B$5))^(E33-65))/(((1+Parameters!$B$5)/(1+Parameters!$B$10))-1), 0)</f>
        <v/>
      </c>
      <c r="V33" s="5">
        <f>S33 * U33 * (1+Parameters!$B$5)^-(65-B33)</f>
        <v/>
      </c>
      <c r="W33" s="5">
        <f>IF(AND(E33&gt;=66, E33&lt;=69), 5*S33*(1+Parameters!$B$5)^-(E33-B33), 0)</f>
        <v/>
      </c>
      <c r="X33" s="5">
        <f>V33 + W33 + R33</f>
        <v/>
      </c>
      <c r="Y33" s="5">
        <f>IF(E33&gt;=65, M33/S33, "")</f>
        <v/>
      </c>
    </row>
    <row r="34">
      <c r="A34" t="n">
        <v>33</v>
      </c>
      <c r="B34" t="n">
        <v>32</v>
      </c>
      <c r="C34" s="5" t="n">
        <v>1610</v>
      </c>
      <c r="D34" t="n">
        <v>0.0114</v>
      </c>
      <c r="E34" t="n">
        <v>78</v>
      </c>
      <c r="F34" s="5" t="n">
        <v>16100</v>
      </c>
      <c r="G34">
        <f>MIN(65-B34, MAX(0, E34-B34))</f>
        <v/>
      </c>
      <c r="H34">
        <f>B34+G34</f>
        <v/>
      </c>
      <c r="I34" s="5">
        <f>F34*(1+D34)^G34</f>
        <v/>
      </c>
      <c r="J34">
        <f>(1+D34)/(1+Parameters!$B$5)</f>
        <v/>
      </c>
      <c r="K34" s="5">
        <f>IF(G34&gt;0, IF(ROUND(J34, 6)=1, G34 * C34 * (1+Parameters!$B$5)^-0.5, C34 * (1-J34^G34)/(1-J34) * (1+Parameters!$B$5)^-0.5), 0)</f>
        <v/>
      </c>
      <c r="L34" s="5">
        <f>K34*(1-Parameters!$B$4)</f>
        <v/>
      </c>
      <c r="M34" s="5">
        <f>L34*(1+Parameters!$B$5)^G34</f>
        <v/>
      </c>
      <c r="N34" s="5">
        <f>IF(E34&gt;=65, (65-B34)*I34/Parameters!$B$6, 0)</f>
        <v/>
      </c>
      <c r="O34">
        <f>IF(E34&gt;65, (1-(1+Parameters!$B$5)^-(E34-65))/Parameters!$B$5, 0)</f>
        <v/>
      </c>
      <c r="P34" s="5">
        <f>N34 * O34 * (1+Parameters!$B$5)^-(65-B34)</f>
        <v/>
      </c>
      <c r="Q34" s="5">
        <f>IF(AND(E34&gt;=66, E34&lt;=69), 5*N34*(1+Parameters!$B$5)^-(E34-B34), 0)</f>
        <v/>
      </c>
      <c r="R34" s="5">
        <f>IF(E34&lt;=65, L34, 0)</f>
        <v/>
      </c>
      <c r="S34" s="5">
        <f>N34 * (Parameters!$B$6 / Parameters!$B$9)</f>
        <v/>
      </c>
      <c r="T34" s="5">
        <f>P34 + Q34</f>
        <v/>
      </c>
      <c r="U34">
        <f>IF(E34&gt;65, (1-((1+Parameters!$B$10)/(1+Parameters!$B$5))^(E34-65))/(((1+Parameters!$B$5)/(1+Parameters!$B$10))-1), 0)</f>
        <v/>
      </c>
      <c r="V34" s="5">
        <f>S34 * U34 * (1+Parameters!$B$5)^-(65-B34)</f>
        <v/>
      </c>
      <c r="W34" s="5">
        <f>IF(AND(E34&gt;=66, E34&lt;=69), 5*S34*(1+Parameters!$B$5)^-(E34-B34), 0)</f>
        <v/>
      </c>
      <c r="X34" s="5">
        <f>V34 + W34 + R34</f>
        <v/>
      </c>
      <c r="Y34" s="5">
        <f>IF(E34&gt;=65, M34/S34, "")</f>
        <v/>
      </c>
    </row>
    <row r="35">
      <c r="A35" t="n">
        <v>34</v>
      </c>
      <c r="B35" t="n">
        <v>19</v>
      </c>
      <c r="C35" s="5" t="n">
        <v>1490</v>
      </c>
      <c r="D35" t="n">
        <v>0.0321</v>
      </c>
      <c r="E35" t="n">
        <v>75</v>
      </c>
      <c r="F35" s="5" t="n">
        <v>14900</v>
      </c>
      <c r="G35">
        <f>MIN(65-B35, MAX(0, E35-B35))</f>
        <v/>
      </c>
      <c r="H35">
        <f>B35+G35</f>
        <v/>
      </c>
      <c r="I35" s="5">
        <f>F35*(1+D35)^G35</f>
        <v/>
      </c>
      <c r="J35">
        <f>(1+D35)/(1+Parameters!$B$5)</f>
        <v/>
      </c>
      <c r="K35" s="5">
        <f>IF(G35&gt;0, IF(ROUND(J35, 6)=1, G35 * C35 * (1+Parameters!$B$5)^-0.5, C35 * (1-J35^G35)/(1-J35) * (1+Parameters!$B$5)^-0.5), 0)</f>
        <v/>
      </c>
      <c r="L35" s="5">
        <f>K35*(1-Parameters!$B$4)</f>
        <v/>
      </c>
      <c r="M35" s="5">
        <f>L35*(1+Parameters!$B$5)^G35</f>
        <v/>
      </c>
      <c r="N35" s="5">
        <f>IF(E35&gt;=65, (65-B35)*I35/Parameters!$B$6, 0)</f>
        <v/>
      </c>
      <c r="O35">
        <f>IF(E35&gt;65, (1-(1+Parameters!$B$5)^-(E35-65))/Parameters!$B$5, 0)</f>
        <v/>
      </c>
      <c r="P35" s="5">
        <f>N35 * O35 * (1+Parameters!$B$5)^-(65-B35)</f>
        <v/>
      </c>
      <c r="Q35" s="5">
        <f>IF(AND(E35&gt;=66, E35&lt;=69), 5*N35*(1+Parameters!$B$5)^-(E35-B35), 0)</f>
        <v/>
      </c>
      <c r="R35" s="5">
        <f>IF(E35&lt;=65, L35, 0)</f>
        <v/>
      </c>
      <c r="S35" s="5">
        <f>N35 * (Parameters!$B$6 / Parameters!$B$9)</f>
        <v/>
      </c>
      <c r="T35" s="5">
        <f>P35 + Q35</f>
        <v/>
      </c>
      <c r="U35">
        <f>IF(E35&gt;65, (1-((1+Parameters!$B$10)/(1+Parameters!$B$5))^(E35-65))/(((1+Parameters!$B$5)/(1+Parameters!$B$10))-1), 0)</f>
        <v/>
      </c>
      <c r="V35" s="5">
        <f>S35 * U35 * (1+Parameters!$B$5)^-(65-B35)</f>
        <v/>
      </c>
      <c r="W35" s="5">
        <f>IF(AND(E35&gt;=66, E35&lt;=69), 5*S35*(1+Parameters!$B$5)^-(E35-B35), 0)</f>
        <v/>
      </c>
      <c r="X35" s="5">
        <f>V35 + W35 + R35</f>
        <v/>
      </c>
      <c r="Y35" s="5">
        <f>IF(E35&gt;=65, M35/S35, "")</f>
        <v/>
      </c>
    </row>
    <row r="36">
      <c r="A36" t="n">
        <v>35</v>
      </c>
      <c r="B36" t="n">
        <v>56</v>
      </c>
      <c r="C36" s="5" t="n">
        <v>6950</v>
      </c>
      <c r="D36" t="n">
        <v>0.036</v>
      </c>
      <c r="E36" t="n">
        <v>80</v>
      </c>
      <c r="F36" s="5" t="n">
        <v>69500</v>
      </c>
      <c r="G36">
        <f>MIN(65-B36, MAX(0, E36-B36))</f>
        <v/>
      </c>
      <c r="H36">
        <f>B36+G36</f>
        <v/>
      </c>
      <c r="I36" s="5">
        <f>F36*(1+D36)^G36</f>
        <v/>
      </c>
      <c r="J36">
        <f>(1+D36)/(1+Parameters!$B$5)</f>
        <v/>
      </c>
      <c r="K36" s="5">
        <f>IF(G36&gt;0, IF(ROUND(J36, 6)=1, G36 * C36 * (1+Parameters!$B$5)^-0.5, C36 * (1-J36^G36)/(1-J36) * (1+Parameters!$B$5)^-0.5), 0)</f>
        <v/>
      </c>
      <c r="L36" s="5">
        <f>K36*(1-Parameters!$B$4)</f>
        <v/>
      </c>
      <c r="M36" s="5">
        <f>L36*(1+Parameters!$B$5)^G36</f>
        <v/>
      </c>
      <c r="N36" s="5">
        <f>IF(E36&gt;=65, (65-B36)*I36/Parameters!$B$6, 0)</f>
        <v/>
      </c>
      <c r="O36">
        <f>IF(E36&gt;65, (1-(1+Parameters!$B$5)^-(E36-65))/Parameters!$B$5, 0)</f>
        <v/>
      </c>
      <c r="P36" s="5">
        <f>N36 * O36 * (1+Parameters!$B$5)^-(65-B36)</f>
        <v/>
      </c>
      <c r="Q36" s="5">
        <f>IF(AND(E36&gt;=66, E36&lt;=69), 5*N36*(1+Parameters!$B$5)^-(E36-B36), 0)</f>
        <v/>
      </c>
      <c r="R36" s="5">
        <f>IF(E36&lt;=65, L36, 0)</f>
        <v/>
      </c>
      <c r="S36" s="5">
        <f>N36 * (Parameters!$B$6 / Parameters!$B$9)</f>
        <v/>
      </c>
      <c r="T36" s="5">
        <f>P36 + Q36</f>
        <v/>
      </c>
      <c r="U36">
        <f>IF(E36&gt;65, (1-((1+Parameters!$B$10)/(1+Parameters!$B$5))^(E36-65))/(((1+Parameters!$B$5)/(1+Parameters!$B$10))-1), 0)</f>
        <v/>
      </c>
      <c r="V36" s="5">
        <f>S36 * U36 * (1+Parameters!$B$5)^-(65-B36)</f>
        <v/>
      </c>
      <c r="W36" s="5">
        <f>IF(AND(E36&gt;=66, E36&lt;=69), 5*S36*(1+Parameters!$B$5)^-(E36-B36), 0)</f>
        <v/>
      </c>
      <c r="X36" s="5">
        <f>V36 + W36 + R36</f>
        <v/>
      </c>
      <c r="Y36" s="5">
        <f>IF(E36&gt;=65, M36/S36, "")</f>
        <v/>
      </c>
    </row>
    <row r="37">
      <c r="A37" t="n">
        <v>36</v>
      </c>
      <c r="B37" t="n">
        <v>54</v>
      </c>
      <c r="C37" s="5" t="n">
        <v>2950</v>
      </c>
      <c r="D37" t="n">
        <v>0.0218</v>
      </c>
      <c r="E37" t="n">
        <v>82</v>
      </c>
      <c r="F37" s="5" t="n">
        <v>29500</v>
      </c>
      <c r="G37">
        <f>MIN(65-B37, MAX(0, E37-B37))</f>
        <v/>
      </c>
      <c r="H37">
        <f>B37+G37</f>
        <v/>
      </c>
      <c r="I37" s="5">
        <f>F37*(1+D37)^G37</f>
        <v/>
      </c>
      <c r="J37">
        <f>(1+D37)/(1+Parameters!$B$5)</f>
        <v/>
      </c>
      <c r="K37" s="5">
        <f>IF(G37&gt;0, IF(ROUND(J37, 6)=1, G37 * C37 * (1+Parameters!$B$5)^-0.5, C37 * (1-J37^G37)/(1-J37) * (1+Parameters!$B$5)^-0.5), 0)</f>
        <v/>
      </c>
      <c r="L37" s="5">
        <f>K37*(1-Parameters!$B$4)</f>
        <v/>
      </c>
      <c r="M37" s="5">
        <f>L37*(1+Parameters!$B$5)^G37</f>
        <v/>
      </c>
      <c r="N37" s="5">
        <f>IF(E37&gt;=65, (65-B37)*I37/Parameters!$B$6, 0)</f>
        <v/>
      </c>
      <c r="O37">
        <f>IF(E37&gt;65, (1-(1+Parameters!$B$5)^-(E37-65))/Parameters!$B$5, 0)</f>
        <v/>
      </c>
      <c r="P37" s="5">
        <f>N37 * O37 * (1+Parameters!$B$5)^-(65-B37)</f>
        <v/>
      </c>
      <c r="Q37" s="5">
        <f>IF(AND(E37&gt;=66, E37&lt;=69), 5*N37*(1+Parameters!$B$5)^-(E37-B37), 0)</f>
        <v/>
      </c>
      <c r="R37" s="5">
        <f>IF(E37&lt;=65, L37, 0)</f>
        <v/>
      </c>
      <c r="S37" s="5">
        <f>N37 * (Parameters!$B$6 / Parameters!$B$9)</f>
        <v/>
      </c>
      <c r="T37" s="5">
        <f>P37 + Q37</f>
        <v/>
      </c>
      <c r="U37">
        <f>IF(E37&gt;65, (1-((1+Parameters!$B$10)/(1+Parameters!$B$5))^(E37-65))/(((1+Parameters!$B$5)/(1+Parameters!$B$10))-1), 0)</f>
        <v/>
      </c>
      <c r="V37" s="5">
        <f>S37 * U37 * (1+Parameters!$B$5)^-(65-B37)</f>
        <v/>
      </c>
      <c r="W37" s="5">
        <f>IF(AND(E37&gt;=66, E37&lt;=69), 5*S37*(1+Parameters!$B$5)^-(E37-B37), 0)</f>
        <v/>
      </c>
      <c r="X37" s="5">
        <f>V37 + W37 + R37</f>
        <v/>
      </c>
      <c r="Y37" s="5">
        <f>IF(E37&gt;=65, M37/S37, "")</f>
        <v/>
      </c>
    </row>
    <row r="38">
      <c r="A38" t="n">
        <v>37</v>
      </c>
      <c r="B38" t="n">
        <v>56</v>
      </c>
      <c r="C38" s="5" t="n">
        <v>2630</v>
      </c>
      <c r="D38" t="n">
        <v>0.0454</v>
      </c>
      <c r="E38" t="n">
        <v>88</v>
      </c>
      <c r="F38" s="5" t="n">
        <v>26300</v>
      </c>
      <c r="G38">
        <f>MIN(65-B38, MAX(0, E38-B38))</f>
        <v/>
      </c>
      <c r="H38">
        <f>B38+G38</f>
        <v/>
      </c>
      <c r="I38" s="5">
        <f>F38*(1+D38)^G38</f>
        <v/>
      </c>
      <c r="J38">
        <f>(1+D38)/(1+Parameters!$B$5)</f>
        <v/>
      </c>
      <c r="K38" s="5">
        <f>IF(G38&gt;0, IF(ROUND(J38, 6)=1, G38 * C38 * (1+Parameters!$B$5)^-0.5, C38 * (1-J38^G38)/(1-J38) * (1+Parameters!$B$5)^-0.5), 0)</f>
        <v/>
      </c>
      <c r="L38" s="5">
        <f>K38*(1-Parameters!$B$4)</f>
        <v/>
      </c>
      <c r="M38" s="5">
        <f>L38*(1+Parameters!$B$5)^G38</f>
        <v/>
      </c>
      <c r="N38" s="5">
        <f>IF(E38&gt;=65, (65-B38)*I38/Parameters!$B$6, 0)</f>
        <v/>
      </c>
      <c r="O38">
        <f>IF(E38&gt;65, (1-(1+Parameters!$B$5)^-(E38-65))/Parameters!$B$5, 0)</f>
        <v/>
      </c>
      <c r="P38" s="5">
        <f>N38 * O38 * (1+Parameters!$B$5)^-(65-B38)</f>
        <v/>
      </c>
      <c r="Q38" s="5">
        <f>IF(AND(E38&gt;=66, E38&lt;=69), 5*N38*(1+Parameters!$B$5)^-(E38-B38), 0)</f>
        <v/>
      </c>
      <c r="R38" s="5">
        <f>IF(E38&lt;=65, L38, 0)</f>
        <v/>
      </c>
      <c r="S38" s="5">
        <f>N38 * (Parameters!$B$6 / Parameters!$B$9)</f>
        <v/>
      </c>
      <c r="T38" s="5">
        <f>P38 + Q38</f>
        <v/>
      </c>
      <c r="U38">
        <f>IF(E38&gt;65, (1-((1+Parameters!$B$10)/(1+Parameters!$B$5))^(E38-65))/(((1+Parameters!$B$5)/(1+Parameters!$B$10))-1), 0)</f>
        <v/>
      </c>
      <c r="V38" s="5">
        <f>S38 * U38 * (1+Parameters!$B$5)^-(65-B38)</f>
        <v/>
      </c>
      <c r="W38" s="5">
        <f>IF(AND(E38&gt;=66, E38&lt;=69), 5*S38*(1+Parameters!$B$5)^-(E38-B38), 0)</f>
        <v/>
      </c>
      <c r="X38" s="5">
        <f>V38 + W38 + R38</f>
        <v/>
      </c>
      <c r="Y38" s="5">
        <f>IF(E38&gt;=65, M38/S38, "")</f>
        <v/>
      </c>
    </row>
    <row r="39">
      <c r="A39" t="n">
        <v>38</v>
      </c>
      <c r="B39" t="n">
        <v>45</v>
      </c>
      <c r="C39" s="5" t="n">
        <v>4050</v>
      </c>
      <c r="D39" t="n">
        <v>0.0146</v>
      </c>
      <c r="E39" t="n">
        <v>83</v>
      </c>
      <c r="F39" s="5" t="n">
        <v>40500</v>
      </c>
      <c r="G39">
        <f>MIN(65-B39, MAX(0, E39-B39))</f>
        <v/>
      </c>
      <c r="H39">
        <f>B39+G39</f>
        <v/>
      </c>
      <c r="I39" s="5">
        <f>F39*(1+D39)^G39</f>
        <v/>
      </c>
      <c r="J39">
        <f>(1+D39)/(1+Parameters!$B$5)</f>
        <v/>
      </c>
      <c r="K39" s="5">
        <f>IF(G39&gt;0, IF(ROUND(J39, 6)=1, G39 * C39 * (1+Parameters!$B$5)^-0.5, C39 * (1-J39^G39)/(1-J39) * (1+Parameters!$B$5)^-0.5), 0)</f>
        <v/>
      </c>
      <c r="L39" s="5">
        <f>K39*(1-Parameters!$B$4)</f>
        <v/>
      </c>
      <c r="M39" s="5">
        <f>L39*(1+Parameters!$B$5)^G39</f>
        <v/>
      </c>
      <c r="N39" s="5">
        <f>IF(E39&gt;=65, (65-B39)*I39/Parameters!$B$6, 0)</f>
        <v/>
      </c>
      <c r="O39">
        <f>IF(E39&gt;65, (1-(1+Parameters!$B$5)^-(E39-65))/Parameters!$B$5, 0)</f>
        <v/>
      </c>
      <c r="P39" s="5">
        <f>N39 * O39 * (1+Parameters!$B$5)^-(65-B39)</f>
        <v/>
      </c>
      <c r="Q39" s="5">
        <f>IF(AND(E39&gt;=66, E39&lt;=69), 5*N39*(1+Parameters!$B$5)^-(E39-B39), 0)</f>
        <v/>
      </c>
      <c r="R39" s="5">
        <f>IF(E39&lt;=65, L39, 0)</f>
        <v/>
      </c>
      <c r="S39" s="5">
        <f>N39 * (Parameters!$B$6 / Parameters!$B$9)</f>
        <v/>
      </c>
      <c r="T39" s="5">
        <f>P39 + Q39</f>
        <v/>
      </c>
      <c r="U39">
        <f>IF(E39&gt;65, (1-((1+Parameters!$B$10)/(1+Parameters!$B$5))^(E39-65))/(((1+Parameters!$B$5)/(1+Parameters!$B$10))-1), 0)</f>
        <v/>
      </c>
      <c r="V39" s="5">
        <f>S39 * U39 * (1+Parameters!$B$5)^-(65-B39)</f>
        <v/>
      </c>
      <c r="W39" s="5">
        <f>IF(AND(E39&gt;=66, E39&lt;=69), 5*S39*(1+Parameters!$B$5)^-(E39-B39), 0)</f>
        <v/>
      </c>
      <c r="X39" s="5">
        <f>V39 + W39 + R39</f>
        <v/>
      </c>
      <c r="Y39" s="5">
        <f>IF(E39&gt;=65, M39/S39, "")</f>
        <v/>
      </c>
    </row>
    <row r="40">
      <c r="A40" t="n">
        <v>39</v>
      </c>
      <c r="B40" t="n">
        <v>37</v>
      </c>
      <c r="C40" s="5" t="n">
        <v>3830</v>
      </c>
      <c r="D40" t="n">
        <v>0.0249</v>
      </c>
      <c r="E40" t="n">
        <v>79</v>
      </c>
      <c r="F40" s="5" t="n">
        <v>38300</v>
      </c>
      <c r="G40">
        <f>MIN(65-B40, MAX(0, E40-B40))</f>
        <v/>
      </c>
      <c r="H40">
        <f>B40+G40</f>
        <v/>
      </c>
      <c r="I40" s="5">
        <f>F40*(1+D40)^G40</f>
        <v/>
      </c>
      <c r="J40">
        <f>(1+D40)/(1+Parameters!$B$5)</f>
        <v/>
      </c>
      <c r="K40" s="5">
        <f>IF(G40&gt;0, IF(ROUND(J40, 6)=1, G40 * C40 * (1+Parameters!$B$5)^-0.5, C40 * (1-J40^G40)/(1-J40) * (1+Parameters!$B$5)^-0.5), 0)</f>
        <v/>
      </c>
      <c r="L40" s="5">
        <f>K40*(1-Parameters!$B$4)</f>
        <v/>
      </c>
      <c r="M40" s="5">
        <f>L40*(1+Parameters!$B$5)^G40</f>
        <v/>
      </c>
      <c r="N40" s="5">
        <f>IF(E40&gt;=65, (65-B40)*I40/Parameters!$B$6, 0)</f>
        <v/>
      </c>
      <c r="O40">
        <f>IF(E40&gt;65, (1-(1+Parameters!$B$5)^-(E40-65))/Parameters!$B$5, 0)</f>
        <v/>
      </c>
      <c r="P40" s="5">
        <f>N40 * O40 * (1+Parameters!$B$5)^-(65-B40)</f>
        <v/>
      </c>
      <c r="Q40" s="5">
        <f>IF(AND(E40&gt;=66, E40&lt;=69), 5*N40*(1+Parameters!$B$5)^-(E40-B40), 0)</f>
        <v/>
      </c>
      <c r="R40" s="5">
        <f>IF(E40&lt;=65, L40, 0)</f>
        <v/>
      </c>
      <c r="S40" s="5">
        <f>N40 * (Parameters!$B$6 / Parameters!$B$9)</f>
        <v/>
      </c>
      <c r="T40" s="5">
        <f>P40 + Q40</f>
        <v/>
      </c>
      <c r="U40">
        <f>IF(E40&gt;65, (1-((1+Parameters!$B$10)/(1+Parameters!$B$5))^(E40-65))/(((1+Parameters!$B$5)/(1+Parameters!$B$10))-1), 0)</f>
        <v/>
      </c>
      <c r="V40" s="5">
        <f>S40 * U40 * (1+Parameters!$B$5)^-(65-B40)</f>
        <v/>
      </c>
      <c r="W40" s="5">
        <f>IF(AND(E40&gt;=66, E40&lt;=69), 5*S40*(1+Parameters!$B$5)^-(E40-B40), 0)</f>
        <v/>
      </c>
      <c r="X40" s="5">
        <f>V40 + W40 + R40</f>
        <v/>
      </c>
      <c r="Y40" s="5">
        <f>IF(E40&gt;=65, M40/S40, "")</f>
        <v/>
      </c>
    </row>
    <row r="41">
      <c r="A41" t="n">
        <v>40</v>
      </c>
      <c r="B41" t="n">
        <v>34</v>
      </c>
      <c r="C41" s="5" t="n">
        <v>4190</v>
      </c>
      <c r="D41" t="n">
        <v>0.0314</v>
      </c>
      <c r="E41" t="n">
        <v>94</v>
      </c>
      <c r="F41" s="5" t="n">
        <v>41900</v>
      </c>
      <c r="G41">
        <f>MIN(65-B41, MAX(0, E41-B41))</f>
        <v/>
      </c>
      <c r="H41">
        <f>B41+G41</f>
        <v/>
      </c>
      <c r="I41" s="5">
        <f>F41*(1+D41)^G41</f>
        <v/>
      </c>
      <c r="J41">
        <f>(1+D41)/(1+Parameters!$B$5)</f>
        <v/>
      </c>
      <c r="K41" s="5">
        <f>IF(G41&gt;0, IF(ROUND(J41, 6)=1, G41 * C41 * (1+Parameters!$B$5)^-0.5, C41 * (1-J41^G41)/(1-J41) * (1+Parameters!$B$5)^-0.5), 0)</f>
        <v/>
      </c>
      <c r="L41" s="5">
        <f>K41*(1-Parameters!$B$4)</f>
        <v/>
      </c>
      <c r="M41" s="5">
        <f>L41*(1+Parameters!$B$5)^G41</f>
        <v/>
      </c>
      <c r="N41" s="5">
        <f>IF(E41&gt;=65, (65-B41)*I41/Parameters!$B$6, 0)</f>
        <v/>
      </c>
      <c r="O41">
        <f>IF(E41&gt;65, (1-(1+Parameters!$B$5)^-(E41-65))/Parameters!$B$5, 0)</f>
        <v/>
      </c>
      <c r="P41" s="5">
        <f>N41 * O41 * (1+Parameters!$B$5)^-(65-B41)</f>
        <v/>
      </c>
      <c r="Q41" s="5">
        <f>IF(AND(E41&gt;=66, E41&lt;=69), 5*N41*(1+Parameters!$B$5)^-(E41-B41), 0)</f>
        <v/>
      </c>
      <c r="R41" s="5">
        <f>IF(E41&lt;=65, L41, 0)</f>
        <v/>
      </c>
      <c r="S41" s="5">
        <f>N41 * (Parameters!$B$6 / Parameters!$B$9)</f>
        <v/>
      </c>
      <c r="T41" s="5">
        <f>P41 + Q41</f>
        <v/>
      </c>
      <c r="U41">
        <f>IF(E41&gt;65, (1-((1+Parameters!$B$10)/(1+Parameters!$B$5))^(E41-65))/(((1+Parameters!$B$5)/(1+Parameters!$B$10))-1), 0)</f>
        <v/>
      </c>
      <c r="V41" s="5">
        <f>S41 * U41 * (1+Parameters!$B$5)^-(65-B41)</f>
        <v/>
      </c>
      <c r="W41" s="5">
        <f>IF(AND(E41&gt;=66, E41&lt;=69), 5*S41*(1+Parameters!$B$5)^-(E41-B41), 0)</f>
        <v/>
      </c>
      <c r="X41" s="5">
        <f>V41 + W41 + R41</f>
        <v/>
      </c>
      <c r="Y41" s="5">
        <f>IF(E41&gt;=65, M41/S41, "")</f>
        <v/>
      </c>
    </row>
    <row r="42">
      <c r="A42" t="n">
        <v>41</v>
      </c>
      <c r="B42" t="n">
        <v>52</v>
      </c>
      <c r="C42" s="5" t="n">
        <v>3180</v>
      </c>
      <c r="D42" t="n">
        <v>0.008999999999999999</v>
      </c>
      <c r="E42" t="n">
        <v>78</v>
      </c>
      <c r="F42" s="5" t="n">
        <v>31800</v>
      </c>
      <c r="G42">
        <f>MIN(65-B42, MAX(0, E42-B42))</f>
        <v/>
      </c>
      <c r="H42">
        <f>B42+G42</f>
        <v/>
      </c>
      <c r="I42" s="5">
        <f>F42*(1+D42)^G42</f>
        <v/>
      </c>
      <c r="J42">
        <f>(1+D42)/(1+Parameters!$B$5)</f>
        <v/>
      </c>
      <c r="K42" s="5">
        <f>IF(G42&gt;0, IF(ROUND(J42, 6)=1, G42 * C42 * (1+Parameters!$B$5)^-0.5, C42 * (1-J42^G42)/(1-J42) * (1+Parameters!$B$5)^-0.5), 0)</f>
        <v/>
      </c>
      <c r="L42" s="5">
        <f>K42*(1-Parameters!$B$4)</f>
        <v/>
      </c>
      <c r="M42" s="5">
        <f>L42*(1+Parameters!$B$5)^G42</f>
        <v/>
      </c>
      <c r="N42" s="5">
        <f>IF(E42&gt;=65, (65-B42)*I42/Parameters!$B$6, 0)</f>
        <v/>
      </c>
      <c r="O42">
        <f>IF(E42&gt;65, (1-(1+Parameters!$B$5)^-(E42-65))/Parameters!$B$5, 0)</f>
        <v/>
      </c>
      <c r="P42" s="5">
        <f>N42 * O42 * (1+Parameters!$B$5)^-(65-B42)</f>
        <v/>
      </c>
      <c r="Q42" s="5">
        <f>IF(AND(E42&gt;=66, E42&lt;=69), 5*N42*(1+Parameters!$B$5)^-(E42-B42), 0)</f>
        <v/>
      </c>
      <c r="R42" s="5">
        <f>IF(E42&lt;=65, L42, 0)</f>
        <v/>
      </c>
      <c r="S42" s="5">
        <f>N42 * (Parameters!$B$6 / Parameters!$B$9)</f>
        <v/>
      </c>
      <c r="T42" s="5">
        <f>P42 + Q42</f>
        <v/>
      </c>
      <c r="U42">
        <f>IF(E42&gt;65, (1-((1+Parameters!$B$10)/(1+Parameters!$B$5))^(E42-65))/(((1+Parameters!$B$5)/(1+Parameters!$B$10))-1), 0)</f>
        <v/>
      </c>
      <c r="V42" s="5">
        <f>S42 * U42 * (1+Parameters!$B$5)^-(65-B42)</f>
        <v/>
      </c>
      <c r="W42" s="5">
        <f>IF(AND(E42&gt;=66, E42&lt;=69), 5*S42*(1+Parameters!$B$5)^-(E42-B42), 0)</f>
        <v/>
      </c>
      <c r="X42" s="5">
        <f>V42 + W42 + R42</f>
        <v/>
      </c>
      <c r="Y42" s="5">
        <f>IF(E42&gt;=65, M42/S42, "")</f>
        <v/>
      </c>
    </row>
    <row r="43">
      <c r="A43" t="n">
        <v>42</v>
      </c>
      <c r="B43" t="n">
        <v>35</v>
      </c>
      <c r="C43" s="5" t="n">
        <v>3980</v>
      </c>
      <c r="D43" t="n">
        <v>0.0238</v>
      </c>
      <c r="E43" t="n">
        <v>86</v>
      </c>
      <c r="F43" s="5" t="n">
        <v>39800</v>
      </c>
      <c r="G43">
        <f>MIN(65-B43, MAX(0, E43-B43))</f>
        <v/>
      </c>
      <c r="H43">
        <f>B43+G43</f>
        <v/>
      </c>
      <c r="I43" s="5">
        <f>F43*(1+D43)^G43</f>
        <v/>
      </c>
      <c r="J43">
        <f>(1+D43)/(1+Parameters!$B$5)</f>
        <v/>
      </c>
      <c r="K43" s="5">
        <f>IF(G43&gt;0, IF(ROUND(J43, 6)=1, G43 * C43 * (1+Parameters!$B$5)^-0.5, C43 * (1-J43^G43)/(1-J43) * (1+Parameters!$B$5)^-0.5), 0)</f>
        <v/>
      </c>
      <c r="L43" s="5">
        <f>K43*(1-Parameters!$B$4)</f>
        <v/>
      </c>
      <c r="M43" s="5">
        <f>L43*(1+Parameters!$B$5)^G43</f>
        <v/>
      </c>
      <c r="N43" s="5">
        <f>IF(E43&gt;=65, (65-B43)*I43/Parameters!$B$6, 0)</f>
        <v/>
      </c>
      <c r="O43">
        <f>IF(E43&gt;65, (1-(1+Parameters!$B$5)^-(E43-65))/Parameters!$B$5, 0)</f>
        <v/>
      </c>
      <c r="P43" s="5">
        <f>N43 * O43 * (1+Parameters!$B$5)^-(65-B43)</f>
        <v/>
      </c>
      <c r="Q43" s="5">
        <f>IF(AND(E43&gt;=66, E43&lt;=69), 5*N43*(1+Parameters!$B$5)^-(E43-B43), 0)</f>
        <v/>
      </c>
      <c r="R43" s="5">
        <f>IF(E43&lt;=65, L43, 0)</f>
        <v/>
      </c>
      <c r="S43" s="5">
        <f>N43 * (Parameters!$B$6 / Parameters!$B$9)</f>
        <v/>
      </c>
      <c r="T43" s="5">
        <f>P43 + Q43</f>
        <v/>
      </c>
      <c r="U43">
        <f>IF(E43&gt;65, (1-((1+Parameters!$B$10)/(1+Parameters!$B$5))^(E43-65))/(((1+Parameters!$B$5)/(1+Parameters!$B$10))-1), 0)</f>
        <v/>
      </c>
      <c r="V43" s="5">
        <f>S43 * U43 * (1+Parameters!$B$5)^-(65-B43)</f>
        <v/>
      </c>
      <c r="W43" s="5">
        <f>IF(AND(E43&gt;=66, E43&lt;=69), 5*S43*(1+Parameters!$B$5)^-(E43-B43), 0)</f>
        <v/>
      </c>
      <c r="X43" s="5">
        <f>V43 + W43 + R43</f>
        <v/>
      </c>
      <c r="Y43" s="5">
        <f>IF(E43&gt;=65, M43/S43, "")</f>
        <v/>
      </c>
    </row>
    <row r="44">
      <c r="A44" t="n">
        <v>43</v>
      </c>
      <c r="B44" t="n">
        <v>52</v>
      </c>
      <c r="C44" s="5" t="n">
        <v>13320</v>
      </c>
      <c r="D44" t="n">
        <v>0.0496</v>
      </c>
      <c r="E44" t="n">
        <v>58</v>
      </c>
      <c r="F44" s="5" t="n">
        <v>133200</v>
      </c>
      <c r="G44">
        <f>MIN(65-B44, MAX(0, E44-B44))</f>
        <v/>
      </c>
      <c r="H44">
        <f>B44+G44</f>
        <v/>
      </c>
      <c r="I44" s="5">
        <f>F44*(1+D44)^G44</f>
        <v/>
      </c>
      <c r="J44">
        <f>(1+D44)/(1+Parameters!$B$5)</f>
        <v/>
      </c>
      <c r="K44" s="5">
        <f>IF(G44&gt;0, IF(ROUND(J44, 6)=1, G44 * C44 * (1+Parameters!$B$5)^-0.5, C44 * (1-J44^G44)/(1-J44) * (1+Parameters!$B$5)^-0.5), 0)</f>
        <v/>
      </c>
      <c r="L44" s="5">
        <f>K44*(1-Parameters!$B$4)</f>
        <v/>
      </c>
      <c r="M44" s="5">
        <f>L44*(1+Parameters!$B$5)^G44</f>
        <v/>
      </c>
      <c r="N44" s="5">
        <f>IF(E44&gt;=65, (65-B44)*I44/Parameters!$B$6, 0)</f>
        <v/>
      </c>
      <c r="O44">
        <f>IF(E44&gt;65, (1-(1+Parameters!$B$5)^-(E44-65))/Parameters!$B$5, 0)</f>
        <v/>
      </c>
      <c r="P44" s="5">
        <f>N44 * O44 * (1+Parameters!$B$5)^-(65-B44)</f>
        <v/>
      </c>
      <c r="Q44" s="5">
        <f>IF(AND(E44&gt;=66, E44&lt;=69), 5*N44*(1+Parameters!$B$5)^-(E44-B44), 0)</f>
        <v/>
      </c>
      <c r="R44" s="5">
        <f>IF(E44&lt;=65, L44, 0)</f>
        <v/>
      </c>
      <c r="S44" s="5">
        <f>N44 * (Parameters!$B$6 / Parameters!$B$9)</f>
        <v/>
      </c>
      <c r="T44" s="5">
        <f>P44 + Q44</f>
        <v/>
      </c>
      <c r="U44">
        <f>IF(E44&gt;65, (1-((1+Parameters!$B$10)/(1+Parameters!$B$5))^(E44-65))/(((1+Parameters!$B$5)/(1+Parameters!$B$10))-1), 0)</f>
        <v/>
      </c>
      <c r="V44" s="5">
        <f>S44 * U44 * (1+Parameters!$B$5)^-(65-B44)</f>
        <v/>
      </c>
      <c r="W44" s="5">
        <f>IF(AND(E44&gt;=66, E44&lt;=69), 5*S44*(1+Parameters!$B$5)^-(E44-B44), 0)</f>
        <v/>
      </c>
      <c r="X44" s="5">
        <f>V44 + W44 + R44</f>
        <v/>
      </c>
      <c r="Y44" s="5">
        <f>IF(E44&gt;=65, M44/S44, "")</f>
        <v/>
      </c>
    </row>
    <row r="45">
      <c r="A45" t="n">
        <v>44</v>
      </c>
      <c r="B45" t="n">
        <v>25</v>
      </c>
      <c r="C45" s="5" t="n">
        <v>1230</v>
      </c>
      <c r="D45" t="n">
        <v>0.0404</v>
      </c>
      <c r="E45" t="n">
        <v>66</v>
      </c>
      <c r="F45" s="5" t="n">
        <v>12300</v>
      </c>
      <c r="G45">
        <f>MIN(65-B45, MAX(0, E45-B45))</f>
        <v/>
      </c>
      <c r="H45">
        <f>B45+G45</f>
        <v/>
      </c>
      <c r="I45" s="5">
        <f>F45*(1+D45)^G45</f>
        <v/>
      </c>
      <c r="J45">
        <f>(1+D45)/(1+Parameters!$B$5)</f>
        <v/>
      </c>
      <c r="K45" s="5">
        <f>IF(G45&gt;0, IF(ROUND(J45, 6)=1, G45 * C45 * (1+Parameters!$B$5)^-0.5, C45 * (1-J45^G45)/(1-J45) * (1+Parameters!$B$5)^-0.5), 0)</f>
        <v/>
      </c>
      <c r="L45" s="5">
        <f>K45*(1-Parameters!$B$4)</f>
        <v/>
      </c>
      <c r="M45" s="5">
        <f>L45*(1+Parameters!$B$5)^G45</f>
        <v/>
      </c>
      <c r="N45" s="5">
        <f>IF(E45&gt;=65, (65-B45)*I45/Parameters!$B$6, 0)</f>
        <v/>
      </c>
      <c r="O45">
        <f>IF(E45&gt;65, (1-(1+Parameters!$B$5)^-(E45-65))/Parameters!$B$5, 0)</f>
        <v/>
      </c>
      <c r="P45" s="5">
        <f>N45 * O45 * (1+Parameters!$B$5)^-(65-B45)</f>
        <v/>
      </c>
      <c r="Q45" s="5">
        <f>IF(AND(E45&gt;=66, E45&lt;=69), 5*N45*(1+Parameters!$B$5)^-(E45-B45), 0)</f>
        <v/>
      </c>
      <c r="R45" s="5">
        <f>IF(E45&lt;=65, L45, 0)</f>
        <v/>
      </c>
      <c r="S45" s="5">
        <f>N45 * (Parameters!$B$6 / Parameters!$B$9)</f>
        <v/>
      </c>
      <c r="T45" s="5">
        <f>P45 + Q45</f>
        <v/>
      </c>
      <c r="U45">
        <f>IF(E45&gt;65, (1-((1+Parameters!$B$10)/(1+Parameters!$B$5))^(E45-65))/(((1+Parameters!$B$5)/(1+Parameters!$B$10))-1), 0)</f>
        <v/>
      </c>
      <c r="V45" s="5">
        <f>S45 * U45 * (1+Parameters!$B$5)^-(65-B45)</f>
        <v/>
      </c>
      <c r="W45" s="5">
        <f>IF(AND(E45&gt;=66, E45&lt;=69), 5*S45*(1+Parameters!$B$5)^-(E45-B45), 0)</f>
        <v/>
      </c>
      <c r="X45" s="5">
        <f>V45 + W45 + R45</f>
        <v/>
      </c>
      <c r="Y45" s="5">
        <f>IF(E45&gt;=65, M45/S45, "")</f>
        <v/>
      </c>
    </row>
    <row r="46">
      <c r="A46" t="n">
        <v>45</v>
      </c>
      <c r="B46" t="n">
        <v>22</v>
      </c>
      <c r="C46" s="5" t="n">
        <v>1520</v>
      </c>
      <c r="D46" t="n">
        <v>0.0287</v>
      </c>
      <c r="E46" t="n">
        <v>70</v>
      </c>
      <c r="F46" s="5" t="n">
        <v>15200</v>
      </c>
      <c r="G46">
        <f>MIN(65-B46, MAX(0, E46-B46))</f>
        <v/>
      </c>
      <c r="H46">
        <f>B46+G46</f>
        <v/>
      </c>
      <c r="I46" s="5">
        <f>F46*(1+D46)^G46</f>
        <v/>
      </c>
      <c r="J46">
        <f>(1+D46)/(1+Parameters!$B$5)</f>
        <v/>
      </c>
      <c r="K46" s="5">
        <f>IF(G46&gt;0, IF(ROUND(J46, 6)=1, G46 * C46 * (1+Parameters!$B$5)^-0.5, C46 * (1-J46^G46)/(1-J46) * (1+Parameters!$B$5)^-0.5), 0)</f>
        <v/>
      </c>
      <c r="L46" s="5">
        <f>K46*(1-Parameters!$B$4)</f>
        <v/>
      </c>
      <c r="M46" s="5">
        <f>L46*(1+Parameters!$B$5)^G46</f>
        <v/>
      </c>
      <c r="N46" s="5">
        <f>IF(E46&gt;=65, (65-B46)*I46/Parameters!$B$6, 0)</f>
        <v/>
      </c>
      <c r="O46">
        <f>IF(E46&gt;65, (1-(1+Parameters!$B$5)^-(E46-65))/Parameters!$B$5, 0)</f>
        <v/>
      </c>
      <c r="P46" s="5">
        <f>N46 * O46 * (1+Parameters!$B$5)^-(65-B46)</f>
        <v/>
      </c>
      <c r="Q46" s="5">
        <f>IF(AND(E46&gt;=66, E46&lt;=69), 5*N46*(1+Parameters!$B$5)^-(E46-B46), 0)</f>
        <v/>
      </c>
      <c r="R46" s="5">
        <f>IF(E46&lt;=65, L46, 0)</f>
        <v/>
      </c>
      <c r="S46" s="5">
        <f>N46 * (Parameters!$B$6 / Parameters!$B$9)</f>
        <v/>
      </c>
      <c r="T46" s="5">
        <f>P46 + Q46</f>
        <v/>
      </c>
      <c r="U46">
        <f>IF(E46&gt;65, (1-((1+Parameters!$B$10)/(1+Parameters!$B$5))^(E46-65))/(((1+Parameters!$B$5)/(1+Parameters!$B$10))-1), 0)</f>
        <v/>
      </c>
      <c r="V46" s="5">
        <f>S46 * U46 * (1+Parameters!$B$5)^-(65-B46)</f>
        <v/>
      </c>
      <c r="W46" s="5">
        <f>IF(AND(E46&gt;=66, E46&lt;=69), 5*S46*(1+Parameters!$B$5)^-(E46-B46), 0)</f>
        <v/>
      </c>
      <c r="X46" s="5">
        <f>V46 + W46 + R46</f>
        <v/>
      </c>
      <c r="Y46" s="5">
        <f>IF(E46&gt;=65, M46/S46, "")</f>
        <v/>
      </c>
    </row>
    <row r="47">
      <c r="A47" t="n">
        <v>46</v>
      </c>
      <c r="B47" t="n">
        <v>49</v>
      </c>
      <c r="C47" s="5" t="n">
        <v>4000</v>
      </c>
      <c r="D47" t="n">
        <v>0.0188</v>
      </c>
      <c r="E47" t="n">
        <v>59</v>
      </c>
      <c r="F47" s="5" t="n">
        <v>40000</v>
      </c>
      <c r="G47">
        <f>MIN(65-B47, MAX(0, E47-B47))</f>
        <v/>
      </c>
      <c r="H47">
        <f>B47+G47</f>
        <v/>
      </c>
      <c r="I47" s="5">
        <f>F47*(1+D47)^G47</f>
        <v/>
      </c>
      <c r="J47">
        <f>(1+D47)/(1+Parameters!$B$5)</f>
        <v/>
      </c>
      <c r="K47" s="5">
        <f>IF(G47&gt;0, IF(ROUND(J47, 6)=1, G47 * C47 * (1+Parameters!$B$5)^-0.5, C47 * (1-J47^G47)/(1-J47) * (1+Parameters!$B$5)^-0.5), 0)</f>
        <v/>
      </c>
      <c r="L47" s="5">
        <f>K47*(1-Parameters!$B$4)</f>
        <v/>
      </c>
      <c r="M47" s="5">
        <f>L47*(1+Parameters!$B$5)^G47</f>
        <v/>
      </c>
      <c r="N47" s="5">
        <f>IF(E47&gt;=65, (65-B47)*I47/Parameters!$B$6, 0)</f>
        <v/>
      </c>
      <c r="O47">
        <f>IF(E47&gt;65, (1-(1+Parameters!$B$5)^-(E47-65))/Parameters!$B$5, 0)</f>
        <v/>
      </c>
      <c r="P47" s="5">
        <f>N47 * O47 * (1+Parameters!$B$5)^-(65-B47)</f>
        <v/>
      </c>
      <c r="Q47" s="5">
        <f>IF(AND(E47&gt;=66, E47&lt;=69), 5*N47*(1+Parameters!$B$5)^-(E47-B47), 0)</f>
        <v/>
      </c>
      <c r="R47" s="5">
        <f>IF(E47&lt;=65, L47, 0)</f>
        <v/>
      </c>
      <c r="S47" s="5">
        <f>N47 * (Parameters!$B$6 / Parameters!$B$9)</f>
        <v/>
      </c>
      <c r="T47" s="5">
        <f>P47 + Q47</f>
        <v/>
      </c>
      <c r="U47">
        <f>IF(E47&gt;65, (1-((1+Parameters!$B$10)/(1+Parameters!$B$5))^(E47-65))/(((1+Parameters!$B$5)/(1+Parameters!$B$10))-1), 0)</f>
        <v/>
      </c>
      <c r="V47" s="5">
        <f>S47 * U47 * (1+Parameters!$B$5)^-(65-B47)</f>
        <v/>
      </c>
      <c r="W47" s="5">
        <f>IF(AND(E47&gt;=66, E47&lt;=69), 5*S47*(1+Parameters!$B$5)^-(E47-B47), 0)</f>
        <v/>
      </c>
      <c r="X47" s="5">
        <f>V47 + W47 + R47</f>
        <v/>
      </c>
      <c r="Y47" s="5">
        <f>IF(E47&gt;=65, M47/S47, "")</f>
        <v/>
      </c>
    </row>
    <row r="48">
      <c r="A48" t="n">
        <v>47</v>
      </c>
      <c r="B48" t="n">
        <v>35</v>
      </c>
      <c r="C48" s="5" t="n">
        <v>2690</v>
      </c>
      <c r="D48" t="n">
        <v>0.0494</v>
      </c>
      <c r="E48" t="n">
        <v>64</v>
      </c>
      <c r="F48" s="5" t="n">
        <v>26900</v>
      </c>
      <c r="G48">
        <f>MIN(65-B48, MAX(0, E48-B48))</f>
        <v/>
      </c>
      <c r="H48">
        <f>B48+G48</f>
        <v/>
      </c>
      <c r="I48" s="5">
        <f>F48*(1+D48)^G48</f>
        <v/>
      </c>
      <c r="J48">
        <f>(1+D48)/(1+Parameters!$B$5)</f>
        <v/>
      </c>
      <c r="K48" s="5">
        <f>IF(G48&gt;0, IF(ROUND(J48, 6)=1, G48 * C48 * (1+Parameters!$B$5)^-0.5, C48 * (1-J48^G48)/(1-J48) * (1+Parameters!$B$5)^-0.5), 0)</f>
        <v/>
      </c>
      <c r="L48" s="5">
        <f>K48*(1-Parameters!$B$4)</f>
        <v/>
      </c>
      <c r="M48" s="5">
        <f>L48*(1+Parameters!$B$5)^G48</f>
        <v/>
      </c>
      <c r="N48" s="5">
        <f>IF(E48&gt;=65, (65-B48)*I48/Parameters!$B$6, 0)</f>
        <v/>
      </c>
      <c r="O48">
        <f>IF(E48&gt;65, (1-(1+Parameters!$B$5)^-(E48-65))/Parameters!$B$5, 0)</f>
        <v/>
      </c>
      <c r="P48" s="5">
        <f>N48 * O48 * (1+Parameters!$B$5)^-(65-B48)</f>
        <v/>
      </c>
      <c r="Q48" s="5">
        <f>IF(AND(E48&gt;=66, E48&lt;=69), 5*N48*(1+Parameters!$B$5)^-(E48-B48), 0)</f>
        <v/>
      </c>
      <c r="R48" s="5">
        <f>IF(E48&lt;=65, L48, 0)</f>
        <v/>
      </c>
      <c r="S48" s="5">
        <f>N48 * (Parameters!$B$6 / Parameters!$B$9)</f>
        <v/>
      </c>
      <c r="T48" s="5">
        <f>P48 + Q48</f>
        <v/>
      </c>
      <c r="U48">
        <f>IF(E48&gt;65, (1-((1+Parameters!$B$10)/(1+Parameters!$B$5))^(E48-65))/(((1+Parameters!$B$5)/(1+Parameters!$B$10))-1), 0)</f>
        <v/>
      </c>
      <c r="V48" s="5">
        <f>S48 * U48 * (1+Parameters!$B$5)^-(65-B48)</f>
        <v/>
      </c>
      <c r="W48" s="5">
        <f>IF(AND(E48&gt;=66, E48&lt;=69), 5*S48*(1+Parameters!$B$5)^-(E48-B48), 0)</f>
        <v/>
      </c>
      <c r="X48" s="5">
        <f>V48 + W48 + R48</f>
        <v/>
      </c>
      <c r="Y48" s="5">
        <f>IF(E48&gt;=65, M48/S48, "")</f>
        <v/>
      </c>
    </row>
    <row r="49">
      <c r="A49" t="n">
        <v>48</v>
      </c>
      <c r="B49" t="n">
        <v>33</v>
      </c>
      <c r="C49" s="5" t="n">
        <v>2770</v>
      </c>
      <c r="D49" t="n">
        <v>0.0338</v>
      </c>
      <c r="E49" t="n">
        <v>79</v>
      </c>
      <c r="F49" s="5" t="n">
        <v>27700</v>
      </c>
      <c r="G49">
        <f>MIN(65-B49, MAX(0, E49-B49))</f>
        <v/>
      </c>
      <c r="H49">
        <f>B49+G49</f>
        <v/>
      </c>
      <c r="I49" s="5">
        <f>F49*(1+D49)^G49</f>
        <v/>
      </c>
      <c r="J49">
        <f>(1+D49)/(1+Parameters!$B$5)</f>
        <v/>
      </c>
      <c r="K49" s="5">
        <f>IF(G49&gt;0, IF(ROUND(J49, 6)=1, G49 * C49 * (1+Parameters!$B$5)^-0.5, C49 * (1-J49^G49)/(1-J49) * (1+Parameters!$B$5)^-0.5), 0)</f>
        <v/>
      </c>
      <c r="L49" s="5">
        <f>K49*(1-Parameters!$B$4)</f>
        <v/>
      </c>
      <c r="M49" s="5">
        <f>L49*(1+Parameters!$B$5)^G49</f>
        <v/>
      </c>
      <c r="N49" s="5">
        <f>IF(E49&gt;=65, (65-B49)*I49/Parameters!$B$6, 0)</f>
        <v/>
      </c>
      <c r="O49">
        <f>IF(E49&gt;65, (1-(1+Parameters!$B$5)^-(E49-65))/Parameters!$B$5, 0)</f>
        <v/>
      </c>
      <c r="P49" s="5">
        <f>N49 * O49 * (1+Parameters!$B$5)^-(65-B49)</f>
        <v/>
      </c>
      <c r="Q49" s="5">
        <f>IF(AND(E49&gt;=66, E49&lt;=69), 5*N49*(1+Parameters!$B$5)^-(E49-B49), 0)</f>
        <v/>
      </c>
      <c r="R49" s="5">
        <f>IF(E49&lt;=65, L49, 0)</f>
        <v/>
      </c>
      <c r="S49" s="5">
        <f>N49 * (Parameters!$B$6 / Parameters!$B$9)</f>
        <v/>
      </c>
      <c r="T49" s="5">
        <f>P49 + Q49</f>
        <v/>
      </c>
      <c r="U49">
        <f>IF(E49&gt;65, (1-((1+Parameters!$B$10)/(1+Parameters!$B$5))^(E49-65))/(((1+Parameters!$B$5)/(1+Parameters!$B$10))-1), 0)</f>
        <v/>
      </c>
      <c r="V49" s="5">
        <f>S49 * U49 * (1+Parameters!$B$5)^-(65-B49)</f>
        <v/>
      </c>
      <c r="W49" s="5">
        <f>IF(AND(E49&gt;=66, E49&lt;=69), 5*S49*(1+Parameters!$B$5)^-(E49-B49), 0)</f>
        <v/>
      </c>
      <c r="X49" s="5">
        <f>V49 + W49 + R49</f>
        <v/>
      </c>
      <c r="Y49" s="5">
        <f>IF(E49&gt;=65, M49/S49, "")</f>
        <v/>
      </c>
    </row>
    <row r="50">
      <c r="A50" t="n">
        <v>49</v>
      </c>
      <c r="B50" t="n">
        <v>27</v>
      </c>
      <c r="C50" s="5" t="n">
        <v>2630</v>
      </c>
      <c r="D50" t="n">
        <v>0.0122</v>
      </c>
      <c r="E50" t="n">
        <v>73</v>
      </c>
      <c r="F50" s="5" t="n">
        <v>26300</v>
      </c>
      <c r="G50">
        <f>MIN(65-B50, MAX(0, E50-B50))</f>
        <v/>
      </c>
      <c r="H50">
        <f>B50+G50</f>
        <v/>
      </c>
      <c r="I50" s="5">
        <f>F50*(1+D50)^G50</f>
        <v/>
      </c>
      <c r="J50">
        <f>(1+D50)/(1+Parameters!$B$5)</f>
        <v/>
      </c>
      <c r="K50" s="5">
        <f>IF(G50&gt;0, IF(ROUND(J50, 6)=1, G50 * C50 * (1+Parameters!$B$5)^-0.5, C50 * (1-J50^G50)/(1-J50) * (1+Parameters!$B$5)^-0.5), 0)</f>
        <v/>
      </c>
      <c r="L50" s="5">
        <f>K50*(1-Parameters!$B$4)</f>
        <v/>
      </c>
      <c r="M50" s="5">
        <f>L50*(1+Parameters!$B$5)^G50</f>
        <v/>
      </c>
      <c r="N50" s="5">
        <f>IF(E50&gt;=65, (65-B50)*I50/Parameters!$B$6, 0)</f>
        <v/>
      </c>
      <c r="O50">
        <f>IF(E50&gt;65, (1-(1+Parameters!$B$5)^-(E50-65))/Parameters!$B$5, 0)</f>
        <v/>
      </c>
      <c r="P50" s="5">
        <f>N50 * O50 * (1+Parameters!$B$5)^-(65-B50)</f>
        <v/>
      </c>
      <c r="Q50" s="5">
        <f>IF(AND(E50&gt;=66, E50&lt;=69), 5*N50*(1+Parameters!$B$5)^-(E50-B50), 0)</f>
        <v/>
      </c>
      <c r="R50" s="5">
        <f>IF(E50&lt;=65, L50, 0)</f>
        <v/>
      </c>
      <c r="S50" s="5">
        <f>N50 * (Parameters!$B$6 / Parameters!$B$9)</f>
        <v/>
      </c>
      <c r="T50" s="5">
        <f>P50 + Q50</f>
        <v/>
      </c>
      <c r="U50">
        <f>IF(E50&gt;65, (1-((1+Parameters!$B$10)/(1+Parameters!$B$5))^(E50-65))/(((1+Parameters!$B$5)/(1+Parameters!$B$10))-1), 0)</f>
        <v/>
      </c>
      <c r="V50" s="5">
        <f>S50 * U50 * (1+Parameters!$B$5)^-(65-B50)</f>
        <v/>
      </c>
      <c r="W50" s="5">
        <f>IF(AND(E50&gt;=66, E50&lt;=69), 5*S50*(1+Parameters!$B$5)^-(E50-B50), 0)</f>
        <v/>
      </c>
      <c r="X50" s="5">
        <f>V50 + W50 + R50</f>
        <v/>
      </c>
      <c r="Y50" s="5">
        <f>IF(E50&gt;=65, M50/S50, "")</f>
        <v/>
      </c>
    </row>
    <row r="51">
      <c r="A51" t="n">
        <v>50</v>
      </c>
      <c r="B51" t="n">
        <v>25</v>
      </c>
      <c r="C51" s="5" t="n">
        <v>2620</v>
      </c>
      <c r="D51" t="n">
        <v>0.0424</v>
      </c>
      <c r="E51" t="n">
        <v>78</v>
      </c>
      <c r="F51" s="5" t="n">
        <v>26200</v>
      </c>
      <c r="G51">
        <f>MIN(65-B51, MAX(0, E51-B51))</f>
        <v/>
      </c>
      <c r="H51">
        <f>B51+G51</f>
        <v/>
      </c>
      <c r="I51" s="5">
        <f>F51*(1+D51)^G51</f>
        <v/>
      </c>
      <c r="J51">
        <f>(1+D51)/(1+Parameters!$B$5)</f>
        <v/>
      </c>
      <c r="K51" s="5">
        <f>IF(G51&gt;0, IF(ROUND(J51, 6)=1, G51 * C51 * (1+Parameters!$B$5)^-0.5, C51 * (1-J51^G51)/(1-J51) * (1+Parameters!$B$5)^-0.5), 0)</f>
        <v/>
      </c>
      <c r="L51" s="5">
        <f>K51*(1-Parameters!$B$4)</f>
        <v/>
      </c>
      <c r="M51" s="5">
        <f>L51*(1+Parameters!$B$5)^G51</f>
        <v/>
      </c>
      <c r="N51" s="5">
        <f>IF(E51&gt;=65, (65-B51)*I51/Parameters!$B$6, 0)</f>
        <v/>
      </c>
      <c r="O51">
        <f>IF(E51&gt;65, (1-(1+Parameters!$B$5)^-(E51-65))/Parameters!$B$5, 0)</f>
        <v/>
      </c>
      <c r="P51" s="5">
        <f>N51 * O51 * (1+Parameters!$B$5)^-(65-B51)</f>
        <v/>
      </c>
      <c r="Q51" s="5">
        <f>IF(AND(E51&gt;=66, E51&lt;=69), 5*N51*(1+Parameters!$B$5)^-(E51-B51), 0)</f>
        <v/>
      </c>
      <c r="R51" s="5">
        <f>IF(E51&lt;=65, L51, 0)</f>
        <v/>
      </c>
      <c r="S51" s="5">
        <f>N51 * (Parameters!$B$6 / Parameters!$B$9)</f>
        <v/>
      </c>
      <c r="T51" s="5">
        <f>P51 + Q51</f>
        <v/>
      </c>
      <c r="U51">
        <f>IF(E51&gt;65, (1-((1+Parameters!$B$10)/(1+Parameters!$B$5))^(E51-65))/(((1+Parameters!$B$5)/(1+Parameters!$B$10))-1), 0)</f>
        <v/>
      </c>
      <c r="V51" s="5">
        <f>S51 * U51 * (1+Parameters!$B$5)^-(65-B51)</f>
        <v/>
      </c>
      <c r="W51" s="5">
        <f>IF(AND(E51&gt;=66, E51&lt;=69), 5*S51*(1+Parameters!$B$5)^-(E51-B51), 0)</f>
        <v/>
      </c>
      <c r="X51" s="5">
        <f>V51 + W51 + R51</f>
        <v/>
      </c>
      <c r="Y51" s="5">
        <f>IF(E51&gt;=65, M51/S51, "")</f>
        <v/>
      </c>
    </row>
    <row r="52">
      <c r="A52" t="n">
        <v>51</v>
      </c>
      <c r="B52" t="n">
        <v>33</v>
      </c>
      <c r="C52" s="5" t="n">
        <v>3590</v>
      </c>
      <c r="D52" t="n">
        <v>0.0537</v>
      </c>
      <c r="E52" t="n">
        <v>66</v>
      </c>
      <c r="F52" s="5" t="n">
        <v>35900</v>
      </c>
      <c r="G52">
        <f>MIN(65-B52, MAX(0, E52-B52))</f>
        <v/>
      </c>
      <c r="H52">
        <f>B52+G52</f>
        <v/>
      </c>
      <c r="I52" s="5">
        <f>F52*(1+D52)^G52</f>
        <v/>
      </c>
      <c r="J52">
        <f>(1+D52)/(1+Parameters!$B$5)</f>
        <v/>
      </c>
      <c r="K52" s="5">
        <f>IF(G52&gt;0, IF(ROUND(J52, 6)=1, G52 * C52 * (1+Parameters!$B$5)^-0.5, C52 * (1-J52^G52)/(1-J52) * (1+Parameters!$B$5)^-0.5), 0)</f>
        <v/>
      </c>
      <c r="L52" s="5">
        <f>K52*(1-Parameters!$B$4)</f>
        <v/>
      </c>
      <c r="M52" s="5">
        <f>L52*(1+Parameters!$B$5)^G52</f>
        <v/>
      </c>
      <c r="N52" s="5">
        <f>IF(E52&gt;=65, (65-B52)*I52/Parameters!$B$6, 0)</f>
        <v/>
      </c>
      <c r="O52">
        <f>IF(E52&gt;65, (1-(1+Parameters!$B$5)^-(E52-65))/Parameters!$B$5, 0)</f>
        <v/>
      </c>
      <c r="P52" s="5">
        <f>N52 * O52 * (1+Parameters!$B$5)^-(65-B52)</f>
        <v/>
      </c>
      <c r="Q52" s="5">
        <f>IF(AND(E52&gt;=66, E52&lt;=69), 5*N52*(1+Parameters!$B$5)^-(E52-B52), 0)</f>
        <v/>
      </c>
      <c r="R52" s="5">
        <f>IF(E52&lt;=65, L52, 0)</f>
        <v/>
      </c>
      <c r="S52" s="5">
        <f>N52 * (Parameters!$B$6 / Parameters!$B$9)</f>
        <v/>
      </c>
      <c r="T52" s="5">
        <f>P52 + Q52</f>
        <v/>
      </c>
      <c r="U52">
        <f>IF(E52&gt;65, (1-((1+Parameters!$B$10)/(1+Parameters!$B$5))^(E52-65))/(((1+Parameters!$B$5)/(1+Parameters!$B$10))-1), 0)</f>
        <v/>
      </c>
      <c r="V52" s="5">
        <f>S52 * U52 * (1+Parameters!$B$5)^-(65-B52)</f>
        <v/>
      </c>
      <c r="W52" s="5">
        <f>IF(AND(E52&gt;=66, E52&lt;=69), 5*S52*(1+Parameters!$B$5)^-(E52-B52), 0)</f>
        <v/>
      </c>
      <c r="X52" s="5">
        <f>V52 + W52 + R52</f>
        <v/>
      </c>
      <c r="Y52" s="5">
        <f>IF(E52&gt;=65, M52/S52, "")</f>
        <v/>
      </c>
    </row>
    <row r="53">
      <c r="A53" t="n">
        <v>52</v>
      </c>
      <c r="B53" t="n">
        <v>20</v>
      </c>
      <c r="C53" s="5" t="n">
        <v>1750</v>
      </c>
      <c r="D53" t="n">
        <v>0.0387</v>
      </c>
      <c r="E53" t="n">
        <v>73</v>
      </c>
      <c r="F53" s="5" t="n">
        <v>17500</v>
      </c>
      <c r="G53">
        <f>MIN(65-B53, MAX(0, E53-B53))</f>
        <v/>
      </c>
      <c r="H53">
        <f>B53+G53</f>
        <v/>
      </c>
      <c r="I53" s="5">
        <f>F53*(1+D53)^G53</f>
        <v/>
      </c>
      <c r="J53">
        <f>(1+D53)/(1+Parameters!$B$5)</f>
        <v/>
      </c>
      <c r="K53" s="5">
        <f>IF(G53&gt;0, IF(ROUND(J53, 6)=1, G53 * C53 * (1+Parameters!$B$5)^-0.5, C53 * (1-J53^G53)/(1-J53) * (1+Parameters!$B$5)^-0.5), 0)</f>
        <v/>
      </c>
      <c r="L53" s="5">
        <f>K53*(1-Parameters!$B$4)</f>
        <v/>
      </c>
      <c r="M53" s="5">
        <f>L53*(1+Parameters!$B$5)^G53</f>
        <v/>
      </c>
      <c r="N53" s="5">
        <f>IF(E53&gt;=65, (65-B53)*I53/Parameters!$B$6, 0)</f>
        <v/>
      </c>
      <c r="O53">
        <f>IF(E53&gt;65, (1-(1+Parameters!$B$5)^-(E53-65))/Parameters!$B$5, 0)</f>
        <v/>
      </c>
      <c r="P53" s="5">
        <f>N53 * O53 * (1+Parameters!$B$5)^-(65-B53)</f>
        <v/>
      </c>
      <c r="Q53" s="5">
        <f>IF(AND(E53&gt;=66, E53&lt;=69), 5*N53*(1+Parameters!$B$5)^-(E53-B53), 0)</f>
        <v/>
      </c>
      <c r="R53" s="5">
        <f>IF(E53&lt;=65, L53, 0)</f>
        <v/>
      </c>
      <c r="S53" s="5">
        <f>N53 * (Parameters!$B$6 / Parameters!$B$9)</f>
        <v/>
      </c>
      <c r="T53" s="5">
        <f>P53 + Q53</f>
        <v/>
      </c>
      <c r="U53">
        <f>IF(E53&gt;65, (1-((1+Parameters!$B$10)/(1+Parameters!$B$5))^(E53-65))/(((1+Parameters!$B$5)/(1+Parameters!$B$10))-1), 0)</f>
        <v/>
      </c>
      <c r="V53" s="5">
        <f>S53 * U53 * (1+Parameters!$B$5)^-(65-B53)</f>
        <v/>
      </c>
      <c r="W53" s="5">
        <f>IF(AND(E53&gt;=66, E53&lt;=69), 5*S53*(1+Parameters!$B$5)^-(E53-B53), 0)</f>
        <v/>
      </c>
      <c r="X53" s="5">
        <f>V53 + W53 + R53</f>
        <v/>
      </c>
      <c r="Y53" s="5">
        <f>IF(E53&gt;=65, M53/S53, "")</f>
        <v/>
      </c>
    </row>
    <row r="54">
      <c r="A54" t="n">
        <v>53</v>
      </c>
      <c r="B54" t="n">
        <v>34</v>
      </c>
      <c r="C54" s="5" t="n">
        <v>2750</v>
      </c>
      <c r="D54" t="n">
        <v>0.0426</v>
      </c>
      <c r="E54" t="n">
        <v>82</v>
      </c>
      <c r="F54" s="5" t="n">
        <v>27500</v>
      </c>
      <c r="G54">
        <f>MIN(65-B54, MAX(0, E54-B54))</f>
        <v/>
      </c>
      <c r="H54">
        <f>B54+G54</f>
        <v/>
      </c>
      <c r="I54" s="5">
        <f>F54*(1+D54)^G54</f>
        <v/>
      </c>
      <c r="J54">
        <f>(1+D54)/(1+Parameters!$B$5)</f>
        <v/>
      </c>
      <c r="K54" s="5">
        <f>IF(G54&gt;0, IF(ROUND(J54, 6)=1, G54 * C54 * (1+Parameters!$B$5)^-0.5, C54 * (1-J54^G54)/(1-J54) * (1+Parameters!$B$5)^-0.5), 0)</f>
        <v/>
      </c>
      <c r="L54" s="5">
        <f>K54*(1-Parameters!$B$4)</f>
        <v/>
      </c>
      <c r="M54" s="5">
        <f>L54*(1+Parameters!$B$5)^G54</f>
        <v/>
      </c>
      <c r="N54" s="5">
        <f>IF(E54&gt;=65, (65-B54)*I54/Parameters!$B$6, 0)</f>
        <v/>
      </c>
      <c r="O54">
        <f>IF(E54&gt;65, (1-(1+Parameters!$B$5)^-(E54-65))/Parameters!$B$5, 0)</f>
        <v/>
      </c>
      <c r="P54" s="5">
        <f>N54 * O54 * (1+Parameters!$B$5)^-(65-B54)</f>
        <v/>
      </c>
      <c r="Q54" s="5">
        <f>IF(AND(E54&gt;=66, E54&lt;=69), 5*N54*(1+Parameters!$B$5)^-(E54-B54), 0)</f>
        <v/>
      </c>
      <c r="R54" s="5">
        <f>IF(E54&lt;=65, L54, 0)</f>
        <v/>
      </c>
      <c r="S54" s="5">
        <f>N54 * (Parameters!$B$6 / Parameters!$B$9)</f>
        <v/>
      </c>
      <c r="T54" s="5">
        <f>P54 + Q54</f>
        <v/>
      </c>
      <c r="U54">
        <f>IF(E54&gt;65, (1-((1+Parameters!$B$10)/(1+Parameters!$B$5))^(E54-65))/(((1+Parameters!$B$5)/(1+Parameters!$B$10))-1), 0)</f>
        <v/>
      </c>
      <c r="V54" s="5">
        <f>S54 * U54 * (1+Parameters!$B$5)^-(65-B54)</f>
        <v/>
      </c>
      <c r="W54" s="5">
        <f>IF(AND(E54&gt;=66, E54&lt;=69), 5*S54*(1+Parameters!$B$5)^-(E54-B54), 0)</f>
        <v/>
      </c>
      <c r="X54" s="5">
        <f>V54 + W54 + R54</f>
        <v/>
      </c>
      <c r="Y54" s="5">
        <f>IF(E54&gt;=65, M54/S54, "")</f>
        <v/>
      </c>
    </row>
    <row r="55">
      <c r="A55" t="n">
        <v>54</v>
      </c>
      <c r="B55" t="n">
        <v>47</v>
      </c>
      <c r="C55" s="5" t="n">
        <v>2140</v>
      </c>
      <c r="D55" t="n">
        <v>0.0556</v>
      </c>
      <c r="E55" t="n">
        <v>68</v>
      </c>
      <c r="F55" s="5" t="n">
        <v>21400</v>
      </c>
      <c r="G55">
        <f>MIN(65-B55, MAX(0, E55-B55))</f>
        <v/>
      </c>
      <c r="H55">
        <f>B55+G55</f>
        <v/>
      </c>
      <c r="I55" s="5">
        <f>F55*(1+D55)^G55</f>
        <v/>
      </c>
      <c r="J55">
        <f>(1+D55)/(1+Parameters!$B$5)</f>
        <v/>
      </c>
      <c r="K55" s="5">
        <f>IF(G55&gt;0, IF(ROUND(J55, 6)=1, G55 * C55 * (1+Parameters!$B$5)^-0.5, C55 * (1-J55^G55)/(1-J55) * (1+Parameters!$B$5)^-0.5), 0)</f>
        <v/>
      </c>
      <c r="L55" s="5">
        <f>K55*(1-Parameters!$B$4)</f>
        <v/>
      </c>
      <c r="M55" s="5">
        <f>L55*(1+Parameters!$B$5)^G55</f>
        <v/>
      </c>
      <c r="N55" s="5">
        <f>IF(E55&gt;=65, (65-B55)*I55/Parameters!$B$6, 0)</f>
        <v/>
      </c>
      <c r="O55">
        <f>IF(E55&gt;65, (1-(1+Parameters!$B$5)^-(E55-65))/Parameters!$B$5, 0)</f>
        <v/>
      </c>
      <c r="P55" s="5">
        <f>N55 * O55 * (1+Parameters!$B$5)^-(65-B55)</f>
        <v/>
      </c>
      <c r="Q55" s="5">
        <f>IF(AND(E55&gt;=66, E55&lt;=69), 5*N55*(1+Parameters!$B$5)^-(E55-B55), 0)</f>
        <v/>
      </c>
      <c r="R55" s="5">
        <f>IF(E55&lt;=65, L55, 0)</f>
        <v/>
      </c>
      <c r="S55" s="5">
        <f>N55 * (Parameters!$B$6 / Parameters!$B$9)</f>
        <v/>
      </c>
      <c r="T55" s="5">
        <f>P55 + Q55</f>
        <v/>
      </c>
      <c r="U55">
        <f>IF(E55&gt;65, (1-((1+Parameters!$B$10)/(1+Parameters!$B$5))^(E55-65))/(((1+Parameters!$B$5)/(1+Parameters!$B$10))-1), 0)</f>
        <v/>
      </c>
      <c r="V55" s="5">
        <f>S55 * U55 * (1+Parameters!$B$5)^-(65-B55)</f>
        <v/>
      </c>
      <c r="W55" s="5">
        <f>IF(AND(E55&gt;=66, E55&lt;=69), 5*S55*(1+Parameters!$B$5)^-(E55-B55), 0)</f>
        <v/>
      </c>
      <c r="X55" s="5">
        <f>V55 + W55 + R55</f>
        <v/>
      </c>
      <c r="Y55" s="5">
        <f>IF(E55&gt;=65, M55/S55, "")</f>
        <v/>
      </c>
    </row>
    <row r="56">
      <c r="A56" t="n">
        <v>55</v>
      </c>
      <c r="B56" t="n">
        <v>42</v>
      </c>
      <c r="C56" s="5" t="n">
        <v>5140</v>
      </c>
      <c r="D56" t="n">
        <v>0.054</v>
      </c>
      <c r="E56" t="n">
        <v>65</v>
      </c>
      <c r="F56" s="5" t="n">
        <v>51400</v>
      </c>
      <c r="G56">
        <f>MIN(65-B56, MAX(0, E56-B56))</f>
        <v/>
      </c>
      <c r="H56">
        <f>B56+G56</f>
        <v/>
      </c>
      <c r="I56" s="5">
        <f>F56*(1+D56)^G56</f>
        <v/>
      </c>
      <c r="J56">
        <f>(1+D56)/(1+Parameters!$B$5)</f>
        <v/>
      </c>
      <c r="K56" s="5">
        <f>IF(G56&gt;0, IF(ROUND(J56, 6)=1, G56 * C56 * (1+Parameters!$B$5)^-0.5, C56 * (1-J56^G56)/(1-J56) * (1+Parameters!$B$5)^-0.5), 0)</f>
        <v/>
      </c>
      <c r="L56" s="5">
        <f>K56*(1-Parameters!$B$4)</f>
        <v/>
      </c>
      <c r="M56" s="5">
        <f>L56*(1+Parameters!$B$5)^G56</f>
        <v/>
      </c>
      <c r="N56" s="5">
        <f>IF(E56&gt;=65, (65-B56)*I56/Parameters!$B$6, 0)</f>
        <v/>
      </c>
      <c r="O56">
        <f>IF(E56&gt;65, (1-(1+Parameters!$B$5)^-(E56-65))/Parameters!$B$5, 0)</f>
        <v/>
      </c>
      <c r="P56" s="5">
        <f>N56 * O56 * (1+Parameters!$B$5)^-(65-B56)</f>
        <v/>
      </c>
      <c r="Q56" s="5">
        <f>IF(AND(E56&gt;=66, E56&lt;=69), 5*N56*(1+Parameters!$B$5)^-(E56-B56), 0)</f>
        <v/>
      </c>
      <c r="R56" s="5">
        <f>IF(E56&lt;=65, L56, 0)</f>
        <v/>
      </c>
      <c r="S56" s="5">
        <f>N56 * (Parameters!$B$6 / Parameters!$B$9)</f>
        <v/>
      </c>
      <c r="T56" s="5">
        <f>P56 + Q56</f>
        <v/>
      </c>
      <c r="U56">
        <f>IF(E56&gt;65, (1-((1+Parameters!$B$10)/(1+Parameters!$B$5))^(E56-65))/(((1+Parameters!$B$5)/(1+Parameters!$B$10))-1), 0)</f>
        <v/>
      </c>
      <c r="V56" s="5">
        <f>S56 * U56 * (1+Parameters!$B$5)^-(65-B56)</f>
        <v/>
      </c>
      <c r="W56" s="5">
        <f>IF(AND(E56&gt;=66, E56&lt;=69), 5*S56*(1+Parameters!$B$5)^-(E56-B56), 0)</f>
        <v/>
      </c>
      <c r="X56" s="5">
        <f>V56 + W56 + R56</f>
        <v/>
      </c>
      <c r="Y56" s="5">
        <f>IF(E56&gt;=65, M56/S56, "")</f>
        <v/>
      </c>
    </row>
    <row r="57">
      <c r="A57" t="n">
        <v>56</v>
      </c>
      <c r="B57" t="n">
        <v>50</v>
      </c>
      <c r="C57" s="5" t="n">
        <v>9600</v>
      </c>
      <c r="D57" t="n">
        <v>0.0523</v>
      </c>
      <c r="E57" t="n">
        <v>87</v>
      </c>
      <c r="F57" s="5" t="n">
        <v>96000</v>
      </c>
      <c r="G57">
        <f>MIN(65-B57, MAX(0, E57-B57))</f>
        <v/>
      </c>
      <c r="H57">
        <f>B57+G57</f>
        <v/>
      </c>
      <c r="I57" s="5">
        <f>F57*(1+D57)^G57</f>
        <v/>
      </c>
      <c r="J57">
        <f>(1+D57)/(1+Parameters!$B$5)</f>
        <v/>
      </c>
      <c r="K57" s="5">
        <f>IF(G57&gt;0, IF(ROUND(J57, 6)=1, G57 * C57 * (1+Parameters!$B$5)^-0.5, C57 * (1-J57^G57)/(1-J57) * (1+Parameters!$B$5)^-0.5), 0)</f>
        <v/>
      </c>
      <c r="L57" s="5">
        <f>K57*(1-Parameters!$B$4)</f>
        <v/>
      </c>
      <c r="M57" s="5">
        <f>L57*(1+Parameters!$B$5)^G57</f>
        <v/>
      </c>
      <c r="N57" s="5">
        <f>IF(E57&gt;=65, (65-B57)*I57/Parameters!$B$6, 0)</f>
        <v/>
      </c>
      <c r="O57">
        <f>IF(E57&gt;65, (1-(1+Parameters!$B$5)^-(E57-65))/Parameters!$B$5, 0)</f>
        <v/>
      </c>
      <c r="P57" s="5">
        <f>N57 * O57 * (1+Parameters!$B$5)^-(65-B57)</f>
        <v/>
      </c>
      <c r="Q57" s="5">
        <f>IF(AND(E57&gt;=66, E57&lt;=69), 5*N57*(1+Parameters!$B$5)^-(E57-B57), 0)</f>
        <v/>
      </c>
      <c r="R57" s="5">
        <f>IF(E57&lt;=65, L57, 0)</f>
        <v/>
      </c>
      <c r="S57" s="5">
        <f>N57 * (Parameters!$B$6 / Parameters!$B$9)</f>
        <v/>
      </c>
      <c r="T57" s="5">
        <f>P57 + Q57</f>
        <v/>
      </c>
      <c r="U57">
        <f>IF(E57&gt;65, (1-((1+Parameters!$B$10)/(1+Parameters!$B$5))^(E57-65))/(((1+Parameters!$B$5)/(1+Parameters!$B$10))-1), 0)</f>
        <v/>
      </c>
      <c r="V57" s="5">
        <f>S57 * U57 * (1+Parameters!$B$5)^-(65-B57)</f>
        <v/>
      </c>
      <c r="W57" s="5">
        <f>IF(AND(E57&gt;=66, E57&lt;=69), 5*S57*(1+Parameters!$B$5)^-(E57-B57), 0)</f>
        <v/>
      </c>
      <c r="X57" s="5">
        <f>V57 + W57 + R57</f>
        <v/>
      </c>
      <c r="Y57" s="5">
        <f>IF(E57&gt;=65, M57/S57, "")</f>
        <v/>
      </c>
    </row>
    <row r="58">
      <c r="A58" t="n">
        <v>57</v>
      </c>
      <c r="B58" t="n">
        <v>39</v>
      </c>
      <c r="C58" s="5" t="n">
        <v>6830</v>
      </c>
      <c r="D58" t="n">
        <v>0.0218</v>
      </c>
      <c r="E58" t="n">
        <v>73</v>
      </c>
      <c r="F58" s="5" t="n">
        <v>68300</v>
      </c>
      <c r="G58">
        <f>MIN(65-B58, MAX(0, E58-B58))</f>
        <v/>
      </c>
      <c r="H58">
        <f>B58+G58</f>
        <v/>
      </c>
      <c r="I58" s="5">
        <f>F58*(1+D58)^G58</f>
        <v/>
      </c>
      <c r="J58">
        <f>(1+D58)/(1+Parameters!$B$5)</f>
        <v/>
      </c>
      <c r="K58" s="5">
        <f>IF(G58&gt;0, IF(ROUND(J58, 6)=1, G58 * C58 * (1+Parameters!$B$5)^-0.5, C58 * (1-J58^G58)/(1-J58) * (1+Parameters!$B$5)^-0.5), 0)</f>
        <v/>
      </c>
      <c r="L58" s="5">
        <f>K58*(1-Parameters!$B$4)</f>
        <v/>
      </c>
      <c r="M58" s="5">
        <f>L58*(1+Parameters!$B$5)^G58</f>
        <v/>
      </c>
      <c r="N58" s="5">
        <f>IF(E58&gt;=65, (65-B58)*I58/Parameters!$B$6, 0)</f>
        <v/>
      </c>
      <c r="O58">
        <f>IF(E58&gt;65, (1-(1+Parameters!$B$5)^-(E58-65))/Parameters!$B$5, 0)</f>
        <v/>
      </c>
      <c r="P58" s="5">
        <f>N58 * O58 * (1+Parameters!$B$5)^-(65-B58)</f>
        <v/>
      </c>
      <c r="Q58" s="5">
        <f>IF(AND(E58&gt;=66, E58&lt;=69), 5*N58*(1+Parameters!$B$5)^-(E58-B58), 0)</f>
        <v/>
      </c>
      <c r="R58" s="5">
        <f>IF(E58&lt;=65, L58, 0)</f>
        <v/>
      </c>
      <c r="S58" s="5">
        <f>N58 * (Parameters!$B$6 / Parameters!$B$9)</f>
        <v/>
      </c>
      <c r="T58" s="5">
        <f>P58 + Q58</f>
        <v/>
      </c>
      <c r="U58">
        <f>IF(E58&gt;65, (1-((1+Parameters!$B$10)/(1+Parameters!$B$5))^(E58-65))/(((1+Parameters!$B$5)/(1+Parameters!$B$10))-1), 0)</f>
        <v/>
      </c>
      <c r="V58" s="5">
        <f>S58 * U58 * (1+Parameters!$B$5)^-(65-B58)</f>
        <v/>
      </c>
      <c r="W58" s="5">
        <f>IF(AND(E58&gt;=66, E58&lt;=69), 5*S58*(1+Parameters!$B$5)^-(E58-B58), 0)</f>
        <v/>
      </c>
      <c r="X58" s="5">
        <f>V58 + W58 + R58</f>
        <v/>
      </c>
      <c r="Y58" s="5">
        <f>IF(E58&gt;=65, M58/S58, "")</f>
        <v/>
      </c>
    </row>
    <row r="59">
      <c r="A59" t="n">
        <v>58</v>
      </c>
      <c r="B59" t="n">
        <v>24</v>
      </c>
      <c r="C59" s="5" t="n">
        <v>2450</v>
      </c>
      <c r="D59" t="n">
        <v>0.0215</v>
      </c>
      <c r="E59" t="n">
        <v>86</v>
      </c>
      <c r="F59" s="5" t="n">
        <v>24500</v>
      </c>
      <c r="G59">
        <f>MIN(65-B59, MAX(0, E59-B59))</f>
        <v/>
      </c>
      <c r="H59">
        <f>B59+G59</f>
        <v/>
      </c>
      <c r="I59" s="5">
        <f>F59*(1+D59)^G59</f>
        <v/>
      </c>
      <c r="J59">
        <f>(1+D59)/(1+Parameters!$B$5)</f>
        <v/>
      </c>
      <c r="K59" s="5">
        <f>IF(G59&gt;0, IF(ROUND(J59, 6)=1, G59 * C59 * (1+Parameters!$B$5)^-0.5, C59 * (1-J59^G59)/(1-J59) * (1+Parameters!$B$5)^-0.5), 0)</f>
        <v/>
      </c>
      <c r="L59" s="5">
        <f>K59*(1-Parameters!$B$4)</f>
        <v/>
      </c>
      <c r="M59" s="5">
        <f>L59*(1+Parameters!$B$5)^G59</f>
        <v/>
      </c>
      <c r="N59" s="5">
        <f>IF(E59&gt;=65, (65-B59)*I59/Parameters!$B$6, 0)</f>
        <v/>
      </c>
      <c r="O59">
        <f>IF(E59&gt;65, (1-(1+Parameters!$B$5)^-(E59-65))/Parameters!$B$5, 0)</f>
        <v/>
      </c>
      <c r="P59" s="5">
        <f>N59 * O59 * (1+Parameters!$B$5)^-(65-B59)</f>
        <v/>
      </c>
      <c r="Q59" s="5">
        <f>IF(AND(E59&gt;=66, E59&lt;=69), 5*N59*(1+Parameters!$B$5)^-(E59-B59), 0)</f>
        <v/>
      </c>
      <c r="R59" s="5">
        <f>IF(E59&lt;=65, L59, 0)</f>
        <v/>
      </c>
      <c r="S59" s="5">
        <f>N59 * (Parameters!$B$6 / Parameters!$B$9)</f>
        <v/>
      </c>
      <c r="T59" s="5">
        <f>P59 + Q59</f>
        <v/>
      </c>
      <c r="U59">
        <f>IF(E59&gt;65, (1-((1+Parameters!$B$10)/(1+Parameters!$B$5))^(E59-65))/(((1+Parameters!$B$5)/(1+Parameters!$B$10))-1), 0)</f>
        <v/>
      </c>
      <c r="V59" s="5">
        <f>S59 * U59 * (1+Parameters!$B$5)^-(65-B59)</f>
        <v/>
      </c>
      <c r="W59" s="5">
        <f>IF(AND(E59&gt;=66, E59&lt;=69), 5*S59*(1+Parameters!$B$5)^-(E59-B59), 0)</f>
        <v/>
      </c>
      <c r="X59" s="5">
        <f>V59 + W59 + R59</f>
        <v/>
      </c>
      <c r="Y59" s="5">
        <f>IF(E59&gt;=65, M59/S59, "")</f>
        <v/>
      </c>
    </row>
    <row r="60">
      <c r="A60" t="n">
        <v>59</v>
      </c>
      <c r="B60" t="n">
        <v>35</v>
      </c>
      <c r="C60" s="5" t="n">
        <v>8450</v>
      </c>
      <c r="D60" t="n">
        <v>0.0076</v>
      </c>
      <c r="E60" t="n">
        <v>91</v>
      </c>
      <c r="F60" s="5" t="n">
        <v>84500</v>
      </c>
      <c r="G60">
        <f>MIN(65-B60, MAX(0, E60-B60))</f>
        <v/>
      </c>
      <c r="H60">
        <f>B60+G60</f>
        <v/>
      </c>
      <c r="I60" s="5">
        <f>F60*(1+D60)^G60</f>
        <v/>
      </c>
      <c r="J60">
        <f>(1+D60)/(1+Parameters!$B$5)</f>
        <v/>
      </c>
      <c r="K60" s="5">
        <f>IF(G60&gt;0, IF(ROUND(J60, 6)=1, G60 * C60 * (1+Parameters!$B$5)^-0.5, C60 * (1-J60^G60)/(1-J60) * (1+Parameters!$B$5)^-0.5), 0)</f>
        <v/>
      </c>
      <c r="L60" s="5">
        <f>K60*(1-Parameters!$B$4)</f>
        <v/>
      </c>
      <c r="M60" s="5">
        <f>L60*(1+Parameters!$B$5)^G60</f>
        <v/>
      </c>
      <c r="N60" s="5">
        <f>IF(E60&gt;=65, (65-B60)*I60/Parameters!$B$6, 0)</f>
        <v/>
      </c>
      <c r="O60">
        <f>IF(E60&gt;65, (1-(1+Parameters!$B$5)^-(E60-65))/Parameters!$B$5, 0)</f>
        <v/>
      </c>
      <c r="P60" s="5">
        <f>N60 * O60 * (1+Parameters!$B$5)^-(65-B60)</f>
        <v/>
      </c>
      <c r="Q60" s="5">
        <f>IF(AND(E60&gt;=66, E60&lt;=69), 5*N60*(1+Parameters!$B$5)^-(E60-B60), 0)</f>
        <v/>
      </c>
      <c r="R60" s="5">
        <f>IF(E60&lt;=65, L60, 0)</f>
        <v/>
      </c>
      <c r="S60" s="5">
        <f>N60 * (Parameters!$B$6 / Parameters!$B$9)</f>
        <v/>
      </c>
      <c r="T60" s="5">
        <f>P60 + Q60</f>
        <v/>
      </c>
      <c r="U60">
        <f>IF(E60&gt;65, (1-((1+Parameters!$B$10)/(1+Parameters!$B$5))^(E60-65))/(((1+Parameters!$B$5)/(1+Parameters!$B$10))-1), 0)</f>
        <v/>
      </c>
      <c r="V60" s="5">
        <f>S60 * U60 * (1+Parameters!$B$5)^-(65-B60)</f>
        <v/>
      </c>
      <c r="W60" s="5">
        <f>IF(AND(E60&gt;=66, E60&lt;=69), 5*S60*(1+Parameters!$B$5)^-(E60-B60), 0)</f>
        <v/>
      </c>
      <c r="X60" s="5">
        <f>V60 + W60 + R60</f>
        <v/>
      </c>
      <c r="Y60" s="5">
        <f>IF(E60&gt;=65, M60/S60, "")</f>
        <v/>
      </c>
    </row>
    <row r="61">
      <c r="A61" t="n">
        <v>60</v>
      </c>
      <c r="B61" t="n">
        <v>26</v>
      </c>
      <c r="C61" s="5" t="n">
        <v>2270</v>
      </c>
      <c r="D61" t="n">
        <v>0.0279</v>
      </c>
      <c r="E61" t="n">
        <v>85</v>
      </c>
      <c r="F61" s="5" t="n">
        <v>22700</v>
      </c>
      <c r="G61">
        <f>MIN(65-B61, MAX(0, E61-B61))</f>
        <v/>
      </c>
      <c r="H61">
        <f>B61+G61</f>
        <v/>
      </c>
      <c r="I61" s="5">
        <f>F61*(1+D61)^G61</f>
        <v/>
      </c>
      <c r="J61">
        <f>(1+D61)/(1+Parameters!$B$5)</f>
        <v/>
      </c>
      <c r="K61" s="5">
        <f>IF(G61&gt;0, IF(ROUND(J61, 6)=1, G61 * C61 * (1+Parameters!$B$5)^-0.5, C61 * (1-J61^G61)/(1-J61) * (1+Parameters!$B$5)^-0.5), 0)</f>
        <v/>
      </c>
      <c r="L61" s="5">
        <f>K61*(1-Parameters!$B$4)</f>
        <v/>
      </c>
      <c r="M61" s="5">
        <f>L61*(1+Parameters!$B$5)^G61</f>
        <v/>
      </c>
      <c r="N61" s="5">
        <f>IF(E61&gt;=65, (65-B61)*I61/Parameters!$B$6, 0)</f>
        <v/>
      </c>
      <c r="O61">
        <f>IF(E61&gt;65, (1-(1+Parameters!$B$5)^-(E61-65))/Parameters!$B$5, 0)</f>
        <v/>
      </c>
      <c r="P61" s="5">
        <f>N61 * O61 * (1+Parameters!$B$5)^-(65-B61)</f>
        <v/>
      </c>
      <c r="Q61" s="5">
        <f>IF(AND(E61&gt;=66, E61&lt;=69), 5*N61*(1+Parameters!$B$5)^-(E61-B61), 0)</f>
        <v/>
      </c>
      <c r="R61" s="5">
        <f>IF(E61&lt;=65, L61, 0)</f>
        <v/>
      </c>
      <c r="S61" s="5">
        <f>N61 * (Parameters!$B$6 / Parameters!$B$9)</f>
        <v/>
      </c>
      <c r="T61" s="5">
        <f>P61 + Q61</f>
        <v/>
      </c>
      <c r="U61">
        <f>IF(E61&gt;65, (1-((1+Parameters!$B$10)/(1+Parameters!$B$5))^(E61-65))/(((1+Parameters!$B$5)/(1+Parameters!$B$10))-1), 0)</f>
        <v/>
      </c>
      <c r="V61" s="5">
        <f>S61 * U61 * (1+Parameters!$B$5)^-(65-B61)</f>
        <v/>
      </c>
      <c r="W61" s="5">
        <f>IF(AND(E61&gt;=66, E61&lt;=69), 5*S61*(1+Parameters!$B$5)^-(E61-B61), 0)</f>
        <v/>
      </c>
      <c r="X61" s="5">
        <f>V61 + W61 + R61</f>
        <v/>
      </c>
      <c r="Y61" s="5">
        <f>IF(E61&gt;=65, M61/S61, "")</f>
        <v/>
      </c>
    </row>
    <row r="62">
      <c r="A62" t="n">
        <v>61</v>
      </c>
      <c r="B62" t="n">
        <v>56</v>
      </c>
      <c r="C62" s="5" t="n">
        <v>14660</v>
      </c>
      <c r="D62" t="n">
        <v>0.044</v>
      </c>
      <c r="E62" t="n">
        <v>87</v>
      </c>
      <c r="F62" s="5" t="n">
        <v>146600</v>
      </c>
      <c r="G62">
        <f>MIN(65-B62, MAX(0, E62-B62))</f>
        <v/>
      </c>
      <c r="H62">
        <f>B62+G62</f>
        <v/>
      </c>
      <c r="I62" s="5">
        <f>F62*(1+D62)^G62</f>
        <v/>
      </c>
      <c r="J62">
        <f>(1+D62)/(1+Parameters!$B$5)</f>
        <v/>
      </c>
      <c r="K62" s="5">
        <f>IF(G62&gt;0, IF(ROUND(J62, 6)=1, G62 * C62 * (1+Parameters!$B$5)^-0.5, C62 * (1-J62^G62)/(1-J62) * (1+Parameters!$B$5)^-0.5), 0)</f>
        <v/>
      </c>
      <c r="L62" s="5">
        <f>K62*(1-Parameters!$B$4)</f>
        <v/>
      </c>
      <c r="M62" s="5">
        <f>L62*(1+Parameters!$B$5)^G62</f>
        <v/>
      </c>
      <c r="N62" s="5">
        <f>IF(E62&gt;=65, (65-B62)*I62/Parameters!$B$6, 0)</f>
        <v/>
      </c>
      <c r="O62">
        <f>IF(E62&gt;65, (1-(1+Parameters!$B$5)^-(E62-65))/Parameters!$B$5, 0)</f>
        <v/>
      </c>
      <c r="P62" s="5">
        <f>N62 * O62 * (1+Parameters!$B$5)^-(65-B62)</f>
        <v/>
      </c>
      <c r="Q62" s="5">
        <f>IF(AND(E62&gt;=66, E62&lt;=69), 5*N62*(1+Parameters!$B$5)^-(E62-B62), 0)</f>
        <v/>
      </c>
      <c r="R62" s="5">
        <f>IF(E62&lt;=65, L62, 0)</f>
        <v/>
      </c>
      <c r="S62" s="5">
        <f>N62 * (Parameters!$B$6 / Parameters!$B$9)</f>
        <v/>
      </c>
      <c r="T62" s="5">
        <f>P62 + Q62</f>
        <v/>
      </c>
      <c r="U62">
        <f>IF(E62&gt;65, (1-((1+Parameters!$B$10)/(1+Parameters!$B$5))^(E62-65))/(((1+Parameters!$B$5)/(1+Parameters!$B$10))-1), 0)</f>
        <v/>
      </c>
      <c r="V62" s="5">
        <f>S62 * U62 * (1+Parameters!$B$5)^-(65-B62)</f>
        <v/>
      </c>
      <c r="W62" s="5">
        <f>IF(AND(E62&gt;=66, E62&lt;=69), 5*S62*(1+Parameters!$B$5)^-(E62-B62), 0)</f>
        <v/>
      </c>
      <c r="X62" s="5">
        <f>V62 + W62 + R62</f>
        <v/>
      </c>
      <c r="Y62" s="5">
        <f>IF(E62&gt;=65, M62/S62, "")</f>
        <v/>
      </c>
    </row>
    <row r="63">
      <c r="A63" t="n">
        <v>62</v>
      </c>
      <c r="B63" t="n">
        <v>57</v>
      </c>
      <c r="C63" s="5" t="n">
        <v>6060</v>
      </c>
      <c r="D63" t="n">
        <v>0.0452</v>
      </c>
      <c r="E63" t="n">
        <v>81</v>
      </c>
      <c r="F63" s="5" t="n">
        <v>60600</v>
      </c>
      <c r="G63">
        <f>MIN(65-B63, MAX(0, E63-B63))</f>
        <v/>
      </c>
      <c r="H63">
        <f>B63+G63</f>
        <v/>
      </c>
      <c r="I63" s="5">
        <f>F63*(1+D63)^G63</f>
        <v/>
      </c>
      <c r="J63">
        <f>(1+D63)/(1+Parameters!$B$5)</f>
        <v/>
      </c>
      <c r="K63" s="5">
        <f>IF(G63&gt;0, IF(ROUND(J63, 6)=1, G63 * C63 * (1+Parameters!$B$5)^-0.5, C63 * (1-J63^G63)/(1-J63) * (1+Parameters!$B$5)^-0.5), 0)</f>
        <v/>
      </c>
      <c r="L63" s="5">
        <f>K63*(1-Parameters!$B$4)</f>
        <v/>
      </c>
      <c r="M63" s="5">
        <f>L63*(1+Parameters!$B$5)^G63</f>
        <v/>
      </c>
      <c r="N63" s="5">
        <f>IF(E63&gt;=65, (65-B63)*I63/Parameters!$B$6, 0)</f>
        <v/>
      </c>
      <c r="O63">
        <f>IF(E63&gt;65, (1-(1+Parameters!$B$5)^-(E63-65))/Parameters!$B$5, 0)</f>
        <v/>
      </c>
      <c r="P63" s="5">
        <f>N63 * O63 * (1+Parameters!$B$5)^-(65-B63)</f>
        <v/>
      </c>
      <c r="Q63" s="5">
        <f>IF(AND(E63&gt;=66, E63&lt;=69), 5*N63*(1+Parameters!$B$5)^-(E63-B63), 0)</f>
        <v/>
      </c>
      <c r="R63" s="5">
        <f>IF(E63&lt;=65, L63, 0)</f>
        <v/>
      </c>
      <c r="S63" s="5">
        <f>N63 * (Parameters!$B$6 / Parameters!$B$9)</f>
        <v/>
      </c>
      <c r="T63" s="5">
        <f>P63 + Q63</f>
        <v/>
      </c>
      <c r="U63">
        <f>IF(E63&gt;65, (1-((1+Parameters!$B$10)/(1+Parameters!$B$5))^(E63-65))/(((1+Parameters!$B$5)/(1+Parameters!$B$10))-1), 0)</f>
        <v/>
      </c>
      <c r="V63" s="5">
        <f>S63 * U63 * (1+Parameters!$B$5)^-(65-B63)</f>
        <v/>
      </c>
      <c r="W63" s="5">
        <f>IF(AND(E63&gt;=66, E63&lt;=69), 5*S63*(1+Parameters!$B$5)^-(E63-B63), 0)</f>
        <v/>
      </c>
      <c r="X63" s="5">
        <f>V63 + W63 + R63</f>
        <v/>
      </c>
      <c r="Y63" s="5">
        <f>IF(E63&gt;=65, M63/S63, "")</f>
        <v/>
      </c>
    </row>
    <row r="64">
      <c r="A64" t="n">
        <v>63</v>
      </c>
      <c r="B64" t="n">
        <v>52</v>
      </c>
      <c r="C64" s="5" t="n">
        <v>11860</v>
      </c>
      <c r="D64" t="n">
        <v>0.0262</v>
      </c>
      <c r="E64" t="n">
        <v>77</v>
      </c>
      <c r="F64" s="5" t="n">
        <v>118600</v>
      </c>
      <c r="G64">
        <f>MIN(65-B64, MAX(0, E64-B64))</f>
        <v/>
      </c>
      <c r="H64">
        <f>B64+G64</f>
        <v/>
      </c>
      <c r="I64" s="5">
        <f>F64*(1+D64)^G64</f>
        <v/>
      </c>
      <c r="J64">
        <f>(1+D64)/(1+Parameters!$B$5)</f>
        <v/>
      </c>
      <c r="K64" s="5">
        <f>IF(G64&gt;0, IF(ROUND(J64, 6)=1, G64 * C64 * (1+Parameters!$B$5)^-0.5, C64 * (1-J64^G64)/(1-J64) * (1+Parameters!$B$5)^-0.5), 0)</f>
        <v/>
      </c>
      <c r="L64" s="5">
        <f>K64*(1-Parameters!$B$4)</f>
        <v/>
      </c>
      <c r="M64" s="5">
        <f>L64*(1+Parameters!$B$5)^G64</f>
        <v/>
      </c>
      <c r="N64" s="5">
        <f>IF(E64&gt;=65, (65-B64)*I64/Parameters!$B$6, 0)</f>
        <v/>
      </c>
      <c r="O64">
        <f>IF(E64&gt;65, (1-(1+Parameters!$B$5)^-(E64-65))/Parameters!$B$5, 0)</f>
        <v/>
      </c>
      <c r="P64" s="5">
        <f>N64 * O64 * (1+Parameters!$B$5)^-(65-B64)</f>
        <v/>
      </c>
      <c r="Q64" s="5">
        <f>IF(AND(E64&gt;=66, E64&lt;=69), 5*N64*(1+Parameters!$B$5)^-(E64-B64), 0)</f>
        <v/>
      </c>
      <c r="R64" s="5">
        <f>IF(E64&lt;=65, L64, 0)</f>
        <v/>
      </c>
      <c r="S64" s="5">
        <f>N64 * (Parameters!$B$6 / Parameters!$B$9)</f>
        <v/>
      </c>
      <c r="T64" s="5">
        <f>P64 + Q64</f>
        <v/>
      </c>
      <c r="U64">
        <f>IF(E64&gt;65, (1-((1+Parameters!$B$10)/(1+Parameters!$B$5))^(E64-65))/(((1+Parameters!$B$5)/(1+Parameters!$B$10))-1), 0)</f>
        <v/>
      </c>
      <c r="V64" s="5">
        <f>S64 * U64 * (1+Parameters!$B$5)^-(65-B64)</f>
        <v/>
      </c>
      <c r="W64" s="5">
        <f>IF(AND(E64&gt;=66, E64&lt;=69), 5*S64*(1+Parameters!$B$5)^-(E64-B64), 0)</f>
        <v/>
      </c>
      <c r="X64" s="5">
        <f>V64 + W64 + R64</f>
        <v/>
      </c>
      <c r="Y64" s="5">
        <f>IF(E64&gt;=65, M64/S64, "")</f>
        <v/>
      </c>
    </row>
    <row r="65">
      <c r="A65" t="n">
        <v>64</v>
      </c>
      <c r="B65" t="n">
        <v>39</v>
      </c>
      <c r="C65" s="5" t="n">
        <v>4550</v>
      </c>
      <c r="D65" t="n">
        <v>0.0301</v>
      </c>
      <c r="E65" t="n">
        <v>89</v>
      </c>
      <c r="F65" s="5" t="n">
        <v>45500</v>
      </c>
      <c r="G65">
        <f>MIN(65-B65, MAX(0, E65-B65))</f>
        <v/>
      </c>
      <c r="H65">
        <f>B65+G65</f>
        <v/>
      </c>
      <c r="I65" s="5">
        <f>F65*(1+D65)^G65</f>
        <v/>
      </c>
      <c r="J65">
        <f>(1+D65)/(1+Parameters!$B$5)</f>
        <v/>
      </c>
      <c r="K65" s="5">
        <f>IF(G65&gt;0, IF(ROUND(J65, 6)=1, G65 * C65 * (1+Parameters!$B$5)^-0.5, C65 * (1-J65^G65)/(1-J65) * (1+Parameters!$B$5)^-0.5), 0)</f>
        <v/>
      </c>
      <c r="L65" s="5">
        <f>K65*(1-Parameters!$B$4)</f>
        <v/>
      </c>
      <c r="M65" s="5">
        <f>L65*(1+Parameters!$B$5)^G65</f>
        <v/>
      </c>
      <c r="N65" s="5">
        <f>IF(E65&gt;=65, (65-B65)*I65/Parameters!$B$6, 0)</f>
        <v/>
      </c>
      <c r="O65">
        <f>IF(E65&gt;65, (1-(1+Parameters!$B$5)^-(E65-65))/Parameters!$B$5, 0)</f>
        <v/>
      </c>
      <c r="P65" s="5">
        <f>N65 * O65 * (1+Parameters!$B$5)^-(65-B65)</f>
        <v/>
      </c>
      <c r="Q65" s="5">
        <f>IF(AND(E65&gt;=66, E65&lt;=69), 5*N65*(1+Parameters!$B$5)^-(E65-B65), 0)</f>
        <v/>
      </c>
      <c r="R65" s="5">
        <f>IF(E65&lt;=65, L65, 0)</f>
        <v/>
      </c>
      <c r="S65" s="5">
        <f>N65 * (Parameters!$B$6 / Parameters!$B$9)</f>
        <v/>
      </c>
      <c r="T65" s="5">
        <f>P65 + Q65</f>
        <v/>
      </c>
      <c r="U65">
        <f>IF(E65&gt;65, (1-((1+Parameters!$B$10)/(1+Parameters!$B$5))^(E65-65))/(((1+Parameters!$B$5)/(1+Parameters!$B$10))-1), 0)</f>
        <v/>
      </c>
      <c r="V65" s="5">
        <f>S65 * U65 * (1+Parameters!$B$5)^-(65-B65)</f>
        <v/>
      </c>
      <c r="W65" s="5">
        <f>IF(AND(E65&gt;=66, E65&lt;=69), 5*S65*(1+Parameters!$B$5)^-(E65-B65), 0)</f>
        <v/>
      </c>
      <c r="X65" s="5">
        <f>V65 + W65 + R65</f>
        <v/>
      </c>
      <c r="Y65" s="5">
        <f>IF(E65&gt;=65, M65/S65, "")</f>
        <v/>
      </c>
    </row>
    <row r="66">
      <c r="A66" t="n">
        <v>65</v>
      </c>
      <c r="B66" t="n">
        <v>47</v>
      </c>
      <c r="C66" s="5" t="n">
        <v>11820</v>
      </c>
      <c r="D66" t="n">
        <v>0.0512</v>
      </c>
      <c r="E66" t="n">
        <v>85</v>
      </c>
      <c r="F66" s="5" t="n">
        <v>118200</v>
      </c>
      <c r="G66">
        <f>MIN(65-B66, MAX(0, E66-B66))</f>
        <v/>
      </c>
      <c r="H66">
        <f>B66+G66</f>
        <v/>
      </c>
      <c r="I66" s="5">
        <f>F66*(1+D66)^G66</f>
        <v/>
      </c>
      <c r="J66">
        <f>(1+D66)/(1+Parameters!$B$5)</f>
        <v/>
      </c>
      <c r="K66" s="5">
        <f>IF(G66&gt;0, IF(ROUND(J66, 6)=1, G66 * C66 * (1+Parameters!$B$5)^-0.5, C66 * (1-J66^G66)/(1-J66) * (1+Parameters!$B$5)^-0.5), 0)</f>
        <v/>
      </c>
      <c r="L66" s="5">
        <f>K66*(1-Parameters!$B$4)</f>
        <v/>
      </c>
      <c r="M66" s="5">
        <f>L66*(1+Parameters!$B$5)^G66</f>
        <v/>
      </c>
      <c r="N66" s="5">
        <f>IF(E66&gt;=65, (65-B66)*I66/Parameters!$B$6, 0)</f>
        <v/>
      </c>
      <c r="O66">
        <f>IF(E66&gt;65, (1-(1+Parameters!$B$5)^-(E66-65))/Parameters!$B$5, 0)</f>
        <v/>
      </c>
      <c r="P66" s="5">
        <f>N66 * O66 * (1+Parameters!$B$5)^-(65-B66)</f>
        <v/>
      </c>
      <c r="Q66" s="5">
        <f>IF(AND(E66&gt;=66, E66&lt;=69), 5*N66*(1+Parameters!$B$5)^-(E66-B66), 0)</f>
        <v/>
      </c>
      <c r="R66" s="5">
        <f>IF(E66&lt;=65, L66, 0)</f>
        <v/>
      </c>
      <c r="S66" s="5">
        <f>N66 * (Parameters!$B$6 / Parameters!$B$9)</f>
        <v/>
      </c>
      <c r="T66" s="5">
        <f>P66 + Q66</f>
        <v/>
      </c>
      <c r="U66">
        <f>IF(E66&gt;65, (1-((1+Parameters!$B$10)/(1+Parameters!$B$5))^(E66-65))/(((1+Parameters!$B$5)/(1+Parameters!$B$10))-1), 0)</f>
        <v/>
      </c>
      <c r="V66" s="5">
        <f>S66 * U66 * (1+Parameters!$B$5)^-(65-B66)</f>
        <v/>
      </c>
      <c r="W66" s="5">
        <f>IF(AND(E66&gt;=66, E66&lt;=69), 5*S66*(1+Parameters!$B$5)^-(E66-B66), 0)</f>
        <v/>
      </c>
      <c r="X66" s="5">
        <f>V66 + W66 + R66</f>
        <v/>
      </c>
      <c r="Y66" s="5">
        <f>IF(E66&gt;=65, M66/S66, "")</f>
        <v/>
      </c>
    </row>
    <row r="67">
      <c r="A67" t="n">
        <v>66</v>
      </c>
      <c r="B67" t="n">
        <v>20</v>
      </c>
      <c r="C67" s="5" t="n">
        <v>1910</v>
      </c>
      <c r="D67" t="n">
        <v>0.0369</v>
      </c>
      <c r="E67" t="n">
        <v>64</v>
      </c>
      <c r="F67" s="5" t="n">
        <v>19100</v>
      </c>
      <c r="G67">
        <f>MIN(65-B67, MAX(0, E67-B67))</f>
        <v/>
      </c>
      <c r="H67">
        <f>B67+G67</f>
        <v/>
      </c>
      <c r="I67" s="5">
        <f>F67*(1+D67)^G67</f>
        <v/>
      </c>
      <c r="J67">
        <f>(1+D67)/(1+Parameters!$B$5)</f>
        <v/>
      </c>
      <c r="K67" s="5">
        <f>IF(G67&gt;0, IF(ROUND(J67, 6)=1, G67 * C67 * (1+Parameters!$B$5)^-0.5, C67 * (1-J67^G67)/(1-J67) * (1+Parameters!$B$5)^-0.5), 0)</f>
        <v/>
      </c>
      <c r="L67" s="5">
        <f>K67*(1-Parameters!$B$4)</f>
        <v/>
      </c>
      <c r="M67" s="5">
        <f>L67*(1+Parameters!$B$5)^G67</f>
        <v/>
      </c>
      <c r="N67" s="5">
        <f>IF(E67&gt;=65, (65-B67)*I67/Parameters!$B$6, 0)</f>
        <v/>
      </c>
      <c r="O67">
        <f>IF(E67&gt;65, (1-(1+Parameters!$B$5)^-(E67-65))/Parameters!$B$5, 0)</f>
        <v/>
      </c>
      <c r="P67" s="5">
        <f>N67 * O67 * (1+Parameters!$B$5)^-(65-B67)</f>
        <v/>
      </c>
      <c r="Q67" s="5">
        <f>IF(AND(E67&gt;=66, E67&lt;=69), 5*N67*(1+Parameters!$B$5)^-(E67-B67), 0)</f>
        <v/>
      </c>
      <c r="R67" s="5">
        <f>IF(E67&lt;=65, L67, 0)</f>
        <v/>
      </c>
      <c r="S67" s="5">
        <f>N67 * (Parameters!$B$6 / Parameters!$B$9)</f>
        <v/>
      </c>
      <c r="T67" s="5">
        <f>P67 + Q67</f>
        <v/>
      </c>
      <c r="U67">
        <f>IF(E67&gt;65, (1-((1+Parameters!$B$10)/(1+Parameters!$B$5))^(E67-65))/(((1+Parameters!$B$5)/(1+Parameters!$B$10))-1), 0)</f>
        <v/>
      </c>
      <c r="V67" s="5">
        <f>S67 * U67 * (1+Parameters!$B$5)^-(65-B67)</f>
        <v/>
      </c>
      <c r="W67" s="5">
        <f>IF(AND(E67&gt;=66, E67&lt;=69), 5*S67*(1+Parameters!$B$5)^-(E67-B67), 0)</f>
        <v/>
      </c>
      <c r="X67" s="5">
        <f>V67 + W67 + R67</f>
        <v/>
      </c>
      <c r="Y67" s="5">
        <f>IF(E67&gt;=65, M67/S67, "")</f>
        <v/>
      </c>
    </row>
    <row r="68">
      <c r="A68" t="n">
        <v>67</v>
      </c>
      <c r="B68" t="n">
        <v>18</v>
      </c>
      <c r="C68" s="5" t="n">
        <v>1070</v>
      </c>
      <c r="D68" t="n">
        <v>0.031</v>
      </c>
      <c r="E68" t="n">
        <v>88</v>
      </c>
      <c r="F68" s="5" t="n">
        <v>10700</v>
      </c>
      <c r="G68">
        <f>MIN(65-B68, MAX(0, E68-B68))</f>
        <v/>
      </c>
      <c r="H68">
        <f>B68+G68</f>
        <v/>
      </c>
      <c r="I68" s="5">
        <f>F68*(1+D68)^G68</f>
        <v/>
      </c>
      <c r="J68">
        <f>(1+D68)/(1+Parameters!$B$5)</f>
        <v/>
      </c>
      <c r="K68" s="5">
        <f>IF(G68&gt;0, IF(ROUND(J68, 6)=1, G68 * C68 * (1+Parameters!$B$5)^-0.5, C68 * (1-J68^G68)/(1-J68) * (1+Parameters!$B$5)^-0.5), 0)</f>
        <v/>
      </c>
      <c r="L68" s="5">
        <f>K68*(1-Parameters!$B$4)</f>
        <v/>
      </c>
      <c r="M68" s="5">
        <f>L68*(1+Parameters!$B$5)^G68</f>
        <v/>
      </c>
      <c r="N68" s="5">
        <f>IF(E68&gt;=65, (65-B68)*I68/Parameters!$B$6, 0)</f>
        <v/>
      </c>
      <c r="O68">
        <f>IF(E68&gt;65, (1-(1+Parameters!$B$5)^-(E68-65))/Parameters!$B$5, 0)</f>
        <v/>
      </c>
      <c r="P68" s="5">
        <f>N68 * O68 * (1+Parameters!$B$5)^-(65-B68)</f>
        <v/>
      </c>
      <c r="Q68" s="5">
        <f>IF(AND(E68&gt;=66, E68&lt;=69), 5*N68*(1+Parameters!$B$5)^-(E68-B68), 0)</f>
        <v/>
      </c>
      <c r="R68" s="5">
        <f>IF(E68&lt;=65, L68, 0)</f>
        <v/>
      </c>
      <c r="S68" s="5">
        <f>N68 * (Parameters!$B$6 / Parameters!$B$9)</f>
        <v/>
      </c>
      <c r="T68" s="5">
        <f>P68 + Q68</f>
        <v/>
      </c>
      <c r="U68">
        <f>IF(E68&gt;65, (1-((1+Parameters!$B$10)/(1+Parameters!$B$5))^(E68-65))/(((1+Parameters!$B$5)/(1+Parameters!$B$10))-1), 0)</f>
        <v/>
      </c>
      <c r="V68" s="5">
        <f>S68 * U68 * (1+Parameters!$B$5)^-(65-B68)</f>
        <v/>
      </c>
      <c r="W68" s="5">
        <f>IF(AND(E68&gt;=66, E68&lt;=69), 5*S68*(1+Parameters!$B$5)^-(E68-B68), 0)</f>
        <v/>
      </c>
      <c r="X68" s="5">
        <f>V68 + W68 + R68</f>
        <v/>
      </c>
      <c r="Y68" s="5">
        <f>IF(E68&gt;=65, M68/S68, "")</f>
        <v/>
      </c>
    </row>
    <row r="69">
      <c r="A69" t="n">
        <v>68</v>
      </c>
      <c r="B69" t="n">
        <v>46</v>
      </c>
      <c r="C69" s="5" t="n">
        <v>7080</v>
      </c>
      <c r="D69" t="n">
        <v>0.0108</v>
      </c>
      <c r="E69" t="n">
        <v>65</v>
      </c>
      <c r="F69" s="5" t="n">
        <v>70800</v>
      </c>
      <c r="G69">
        <f>MIN(65-B69, MAX(0, E69-B69))</f>
        <v/>
      </c>
      <c r="H69">
        <f>B69+G69</f>
        <v/>
      </c>
      <c r="I69" s="5">
        <f>F69*(1+D69)^G69</f>
        <v/>
      </c>
      <c r="J69">
        <f>(1+D69)/(1+Parameters!$B$5)</f>
        <v/>
      </c>
      <c r="K69" s="5">
        <f>IF(G69&gt;0, IF(ROUND(J69, 6)=1, G69 * C69 * (1+Parameters!$B$5)^-0.5, C69 * (1-J69^G69)/(1-J69) * (1+Parameters!$B$5)^-0.5), 0)</f>
        <v/>
      </c>
      <c r="L69" s="5">
        <f>K69*(1-Parameters!$B$4)</f>
        <v/>
      </c>
      <c r="M69" s="5">
        <f>L69*(1+Parameters!$B$5)^G69</f>
        <v/>
      </c>
      <c r="N69" s="5">
        <f>IF(E69&gt;=65, (65-B69)*I69/Parameters!$B$6, 0)</f>
        <v/>
      </c>
      <c r="O69">
        <f>IF(E69&gt;65, (1-(1+Parameters!$B$5)^-(E69-65))/Parameters!$B$5, 0)</f>
        <v/>
      </c>
      <c r="P69" s="5">
        <f>N69 * O69 * (1+Parameters!$B$5)^-(65-B69)</f>
        <v/>
      </c>
      <c r="Q69" s="5">
        <f>IF(AND(E69&gt;=66, E69&lt;=69), 5*N69*(1+Parameters!$B$5)^-(E69-B69), 0)</f>
        <v/>
      </c>
      <c r="R69" s="5">
        <f>IF(E69&lt;=65, L69, 0)</f>
        <v/>
      </c>
      <c r="S69" s="5">
        <f>N69 * (Parameters!$B$6 / Parameters!$B$9)</f>
        <v/>
      </c>
      <c r="T69" s="5">
        <f>P69 + Q69</f>
        <v/>
      </c>
      <c r="U69">
        <f>IF(E69&gt;65, (1-((1+Parameters!$B$10)/(1+Parameters!$B$5))^(E69-65))/(((1+Parameters!$B$5)/(1+Parameters!$B$10))-1), 0)</f>
        <v/>
      </c>
      <c r="V69" s="5">
        <f>S69 * U69 * (1+Parameters!$B$5)^-(65-B69)</f>
        <v/>
      </c>
      <c r="W69" s="5">
        <f>IF(AND(E69&gt;=66, E69&lt;=69), 5*S69*(1+Parameters!$B$5)^-(E69-B69), 0)</f>
        <v/>
      </c>
      <c r="X69" s="5">
        <f>V69 + W69 + R69</f>
        <v/>
      </c>
      <c r="Y69" s="5">
        <f>IF(E69&gt;=65, M69/S69, "")</f>
        <v/>
      </c>
    </row>
    <row r="70">
      <c r="A70" t="n">
        <v>69</v>
      </c>
      <c r="B70" t="n">
        <v>56</v>
      </c>
      <c r="C70" s="5" t="n">
        <v>14090</v>
      </c>
      <c r="D70" t="n">
        <v>0.009299999999999999</v>
      </c>
      <c r="E70" t="n">
        <v>64</v>
      </c>
      <c r="F70" s="5" t="n">
        <v>140900</v>
      </c>
      <c r="G70">
        <f>MIN(65-B70, MAX(0, E70-B70))</f>
        <v/>
      </c>
      <c r="H70">
        <f>B70+G70</f>
        <v/>
      </c>
      <c r="I70" s="5">
        <f>F70*(1+D70)^G70</f>
        <v/>
      </c>
      <c r="J70">
        <f>(1+D70)/(1+Parameters!$B$5)</f>
        <v/>
      </c>
      <c r="K70" s="5">
        <f>IF(G70&gt;0, IF(ROUND(J70, 6)=1, G70 * C70 * (1+Parameters!$B$5)^-0.5, C70 * (1-J70^G70)/(1-J70) * (1+Parameters!$B$5)^-0.5), 0)</f>
        <v/>
      </c>
      <c r="L70" s="5">
        <f>K70*(1-Parameters!$B$4)</f>
        <v/>
      </c>
      <c r="M70" s="5">
        <f>L70*(1+Parameters!$B$5)^G70</f>
        <v/>
      </c>
      <c r="N70" s="5">
        <f>IF(E70&gt;=65, (65-B70)*I70/Parameters!$B$6, 0)</f>
        <v/>
      </c>
      <c r="O70">
        <f>IF(E70&gt;65, (1-(1+Parameters!$B$5)^-(E70-65))/Parameters!$B$5, 0)</f>
        <v/>
      </c>
      <c r="P70" s="5">
        <f>N70 * O70 * (1+Parameters!$B$5)^-(65-B70)</f>
        <v/>
      </c>
      <c r="Q70" s="5">
        <f>IF(AND(E70&gt;=66, E70&lt;=69), 5*N70*(1+Parameters!$B$5)^-(E70-B70), 0)</f>
        <v/>
      </c>
      <c r="R70" s="5">
        <f>IF(E70&lt;=65, L70, 0)</f>
        <v/>
      </c>
      <c r="S70" s="5">
        <f>N70 * (Parameters!$B$6 / Parameters!$B$9)</f>
        <v/>
      </c>
      <c r="T70" s="5">
        <f>P70 + Q70</f>
        <v/>
      </c>
      <c r="U70">
        <f>IF(E70&gt;65, (1-((1+Parameters!$B$10)/(1+Parameters!$B$5))^(E70-65))/(((1+Parameters!$B$5)/(1+Parameters!$B$10))-1), 0)</f>
        <v/>
      </c>
      <c r="V70" s="5">
        <f>S70 * U70 * (1+Parameters!$B$5)^-(65-B70)</f>
        <v/>
      </c>
      <c r="W70" s="5">
        <f>IF(AND(E70&gt;=66, E70&lt;=69), 5*S70*(1+Parameters!$B$5)^-(E70-B70), 0)</f>
        <v/>
      </c>
      <c r="X70" s="5">
        <f>V70 + W70 + R70</f>
        <v/>
      </c>
      <c r="Y70" s="5">
        <f>IF(E70&gt;=65, M70/S70, "")</f>
        <v/>
      </c>
    </row>
    <row r="71">
      <c r="A71" t="n">
        <v>70</v>
      </c>
      <c r="B71" t="n">
        <v>25</v>
      </c>
      <c r="C71" s="5" t="n">
        <v>2770</v>
      </c>
      <c r="D71" t="n">
        <v>0.0576</v>
      </c>
      <c r="E71" t="n">
        <v>75</v>
      </c>
      <c r="F71" s="5" t="n">
        <v>27700</v>
      </c>
      <c r="G71">
        <f>MIN(65-B71, MAX(0, E71-B71))</f>
        <v/>
      </c>
      <c r="H71">
        <f>B71+G71</f>
        <v/>
      </c>
      <c r="I71" s="5">
        <f>F71*(1+D71)^G71</f>
        <v/>
      </c>
      <c r="J71">
        <f>(1+D71)/(1+Parameters!$B$5)</f>
        <v/>
      </c>
      <c r="K71" s="5">
        <f>IF(G71&gt;0, IF(ROUND(J71, 6)=1, G71 * C71 * (1+Parameters!$B$5)^-0.5, C71 * (1-J71^G71)/(1-J71) * (1+Parameters!$B$5)^-0.5), 0)</f>
        <v/>
      </c>
      <c r="L71" s="5">
        <f>K71*(1-Parameters!$B$4)</f>
        <v/>
      </c>
      <c r="M71" s="5">
        <f>L71*(1+Parameters!$B$5)^G71</f>
        <v/>
      </c>
      <c r="N71" s="5">
        <f>IF(E71&gt;=65, (65-B71)*I71/Parameters!$B$6, 0)</f>
        <v/>
      </c>
      <c r="O71">
        <f>IF(E71&gt;65, (1-(1+Parameters!$B$5)^-(E71-65))/Parameters!$B$5, 0)</f>
        <v/>
      </c>
      <c r="P71" s="5">
        <f>N71 * O71 * (1+Parameters!$B$5)^-(65-B71)</f>
        <v/>
      </c>
      <c r="Q71" s="5">
        <f>IF(AND(E71&gt;=66, E71&lt;=69), 5*N71*(1+Parameters!$B$5)^-(E71-B71), 0)</f>
        <v/>
      </c>
      <c r="R71" s="5">
        <f>IF(E71&lt;=65, L71, 0)</f>
        <v/>
      </c>
      <c r="S71" s="5">
        <f>N71 * (Parameters!$B$6 / Parameters!$B$9)</f>
        <v/>
      </c>
      <c r="T71" s="5">
        <f>P71 + Q71</f>
        <v/>
      </c>
      <c r="U71">
        <f>IF(E71&gt;65, (1-((1+Parameters!$B$10)/(1+Parameters!$B$5))^(E71-65))/(((1+Parameters!$B$5)/(1+Parameters!$B$10))-1), 0)</f>
        <v/>
      </c>
      <c r="V71" s="5">
        <f>S71 * U71 * (1+Parameters!$B$5)^-(65-B71)</f>
        <v/>
      </c>
      <c r="W71" s="5">
        <f>IF(AND(E71&gt;=66, E71&lt;=69), 5*S71*(1+Parameters!$B$5)^-(E71-B71), 0)</f>
        <v/>
      </c>
      <c r="X71" s="5">
        <f>V71 + W71 + R71</f>
        <v/>
      </c>
      <c r="Y71" s="5">
        <f>IF(E71&gt;=65, M71/S71, "")</f>
        <v/>
      </c>
    </row>
    <row r="72">
      <c r="A72" t="n">
        <v>71</v>
      </c>
      <c r="B72" t="n">
        <v>24</v>
      </c>
      <c r="C72" s="5" t="n">
        <v>2870</v>
      </c>
      <c r="D72" t="n">
        <v>0.0193</v>
      </c>
      <c r="E72" t="n">
        <v>66</v>
      </c>
      <c r="F72" s="5" t="n">
        <v>28700</v>
      </c>
      <c r="G72">
        <f>MIN(65-B72, MAX(0, E72-B72))</f>
        <v/>
      </c>
      <c r="H72">
        <f>B72+G72</f>
        <v/>
      </c>
      <c r="I72" s="5">
        <f>F72*(1+D72)^G72</f>
        <v/>
      </c>
      <c r="J72">
        <f>(1+D72)/(1+Parameters!$B$5)</f>
        <v/>
      </c>
      <c r="K72" s="5">
        <f>IF(G72&gt;0, IF(ROUND(J72, 6)=1, G72 * C72 * (1+Parameters!$B$5)^-0.5, C72 * (1-J72^G72)/(1-J72) * (1+Parameters!$B$5)^-0.5), 0)</f>
        <v/>
      </c>
      <c r="L72" s="5">
        <f>K72*(1-Parameters!$B$4)</f>
        <v/>
      </c>
      <c r="M72" s="5">
        <f>L72*(1+Parameters!$B$5)^G72</f>
        <v/>
      </c>
      <c r="N72" s="5">
        <f>IF(E72&gt;=65, (65-B72)*I72/Parameters!$B$6, 0)</f>
        <v/>
      </c>
      <c r="O72">
        <f>IF(E72&gt;65, (1-(1+Parameters!$B$5)^-(E72-65))/Parameters!$B$5, 0)</f>
        <v/>
      </c>
      <c r="P72" s="5">
        <f>N72 * O72 * (1+Parameters!$B$5)^-(65-B72)</f>
        <v/>
      </c>
      <c r="Q72" s="5">
        <f>IF(AND(E72&gt;=66, E72&lt;=69), 5*N72*(1+Parameters!$B$5)^-(E72-B72), 0)</f>
        <v/>
      </c>
      <c r="R72" s="5">
        <f>IF(E72&lt;=65, L72, 0)</f>
        <v/>
      </c>
      <c r="S72" s="5">
        <f>N72 * (Parameters!$B$6 / Parameters!$B$9)</f>
        <v/>
      </c>
      <c r="T72" s="5">
        <f>P72 + Q72</f>
        <v/>
      </c>
      <c r="U72">
        <f>IF(E72&gt;65, (1-((1+Parameters!$B$10)/(1+Parameters!$B$5))^(E72-65))/(((1+Parameters!$B$5)/(1+Parameters!$B$10))-1), 0)</f>
        <v/>
      </c>
      <c r="V72" s="5">
        <f>S72 * U72 * (1+Parameters!$B$5)^-(65-B72)</f>
        <v/>
      </c>
      <c r="W72" s="5">
        <f>IF(AND(E72&gt;=66, E72&lt;=69), 5*S72*(1+Parameters!$B$5)^-(E72-B72), 0)</f>
        <v/>
      </c>
      <c r="X72" s="5">
        <f>V72 + W72 + R72</f>
        <v/>
      </c>
      <c r="Y72" s="5">
        <f>IF(E72&gt;=65, M72/S72, "")</f>
        <v/>
      </c>
    </row>
    <row r="73">
      <c r="A73" t="n">
        <v>72</v>
      </c>
      <c r="B73" t="n">
        <v>42</v>
      </c>
      <c r="C73" s="5" t="n">
        <v>1930</v>
      </c>
      <c r="D73" t="n">
        <v>0.0537</v>
      </c>
      <c r="E73" t="n">
        <v>79</v>
      </c>
      <c r="F73" s="5" t="n">
        <v>19300</v>
      </c>
      <c r="G73">
        <f>MIN(65-B73, MAX(0, E73-B73))</f>
        <v/>
      </c>
      <c r="H73">
        <f>B73+G73</f>
        <v/>
      </c>
      <c r="I73" s="5">
        <f>F73*(1+D73)^G73</f>
        <v/>
      </c>
      <c r="J73">
        <f>(1+D73)/(1+Parameters!$B$5)</f>
        <v/>
      </c>
      <c r="K73" s="5">
        <f>IF(G73&gt;0, IF(ROUND(J73, 6)=1, G73 * C73 * (1+Parameters!$B$5)^-0.5, C73 * (1-J73^G73)/(1-J73) * (1+Parameters!$B$5)^-0.5), 0)</f>
        <v/>
      </c>
      <c r="L73" s="5">
        <f>K73*(1-Parameters!$B$4)</f>
        <v/>
      </c>
      <c r="M73" s="5">
        <f>L73*(1+Parameters!$B$5)^G73</f>
        <v/>
      </c>
      <c r="N73" s="5">
        <f>IF(E73&gt;=65, (65-B73)*I73/Parameters!$B$6, 0)</f>
        <v/>
      </c>
      <c r="O73">
        <f>IF(E73&gt;65, (1-(1+Parameters!$B$5)^-(E73-65))/Parameters!$B$5, 0)</f>
        <v/>
      </c>
      <c r="P73" s="5">
        <f>N73 * O73 * (1+Parameters!$B$5)^-(65-B73)</f>
        <v/>
      </c>
      <c r="Q73" s="5">
        <f>IF(AND(E73&gt;=66, E73&lt;=69), 5*N73*(1+Parameters!$B$5)^-(E73-B73), 0)</f>
        <v/>
      </c>
      <c r="R73" s="5">
        <f>IF(E73&lt;=65, L73, 0)</f>
        <v/>
      </c>
      <c r="S73" s="5">
        <f>N73 * (Parameters!$B$6 / Parameters!$B$9)</f>
        <v/>
      </c>
      <c r="T73" s="5">
        <f>P73 + Q73</f>
        <v/>
      </c>
      <c r="U73">
        <f>IF(E73&gt;65, (1-((1+Parameters!$B$10)/(1+Parameters!$B$5))^(E73-65))/(((1+Parameters!$B$5)/(1+Parameters!$B$10))-1), 0)</f>
        <v/>
      </c>
      <c r="V73" s="5">
        <f>S73 * U73 * (1+Parameters!$B$5)^-(65-B73)</f>
        <v/>
      </c>
      <c r="W73" s="5">
        <f>IF(AND(E73&gt;=66, E73&lt;=69), 5*S73*(1+Parameters!$B$5)^-(E73-B73), 0)</f>
        <v/>
      </c>
      <c r="X73" s="5">
        <f>V73 + W73 + R73</f>
        <v/>
      </c>
      <c r="Y73" s="5">
        <f>IF(E73&gt;=65, M73/S73, "")</f>
        <v/>
      </c>
    </row>
    <row r="74">
      <c r="A74" t="n">
        <v>73</v>
      </c>
      <c r="B74" t="n">
        <v>49</v>
      </c>
      <c r="C74" s="5" t="n">
        <v>10800</v>
      </c>
      <c r="D74" t="n">
        <v>0.0112</v>
      </c>
      <c r="E74" t="n">
        <v>75</v>
      </c>
      <c r="F74" s="5" t="n">
        <v>108000</v>
      </c>
      <c r="G74">
        <f>MIN(65-B74, MAX(0, E74-B74))</f>
        <v/>
      </c>
      <c r="H74">
        <f>B74+G74</f>
        <v/>
      </c>
      <c r="I74" s="5">
        <f>F74*(1+D74)^G74</f>
        <v/>
      </c>
      <c r="J74">
        <f>(1+D74)/(1+Parameters!$B$5)</f>
        <v/>
      </c>
      <c r="K74" s="5">
        <f>IF(G74&gt;0, IF(ROUND(J74, 6)=1, G74 * C74 * (1+Parameters!$B$5)^-0.5, C74 * (1-J74^G74)/(1-J74) * (1+Parameters!$B$5)^-0.5), 0)</f>
        <v/>
      </c>
      <c r="L74" s="5">
        <f>K74*(1-Parameters!$B$4)</f>
        <v/>
      </c>
      <c r="M74" s="5">
        <f>L74*(1+Parameters!$B$5)^G74</f>
        <v/>
      </c>
      <c r="N74" s="5">
        <f>IF(E74&gt;=65, (65-B74)*I74/Parameters!$B$6, 0)</f>
        <v/>
      </c>
      <c r="O74">
        <f>IF(E74&gt;65, (1-(1+Parameters!$B$5)^-(E74-65))/Parameters!$B$5, 0)</f>
        <v/>
      </c>
      <c r="P74" s="5">
        <f>N74 * O74 * (1+Parameters!$B$5)^-(65-B74)</f>
        <v/>
      </c>
      <c r="Q74" s="5">
        <f>IF(AND(E74&gt;=66, E74&lt;=69), 5*N74*(1+Parameters!$B$5)^-(E74-B74), 0)</f>
        <v/>
      </c>
      <c r="R74" s="5">
        <f>IF(E74&lt;=65, L74, 0)</f>
        <v/>
      </c>
      <c r="S74" s="5">
        <f>N74 * (Parameters!$B$6 / Parameters!$B$9)</f>
        <v/>
      </c>
      <c r="T74" s="5">
        <f>P74 + Q74</f>
        <v/>
      </c>
      <c r="U74">
        <f>IF(E74&gt;65, (1-((1+Parameters!$B$10)/(1+Parameters!$B$5))^(E74-65))/(((1+Parameters!$B$5)/(1+Parameters!$B$10))-1), 0)</f>
        <v/>
      </c>
      <c r="V74" s="5">
        <f>S74 * U74 * (1+Parameters!$B$5)^-(65-B74)</f>
        <v/>
      </c>
      <c r="W74" s="5">
        <f>IF(AND(E74&gt;=66, E74&lt;=69), 5*S74*(1+Parameters!$B$5)^-(E74-B74), 0)</f>
        <v/>
      </c>
      <c r="X74" s="5">
        <f>V74 + W74 + R74</f>
        <v/>
      </c>
      <c r="Y74" s="5">
        <f>IF(E74&gt;=65, M74/S74, "")</f>
        <v/>
      </c>
    </row>
    <row r="75">
      <c r="A75" t="n">
        <v>74</v>
      </c>
      <c r="B75" t="n">
        <v>48</v>
      </c>
      <c r="C75" s="5" t="n">
        <v>2810</v>
      </c>
      <c r="D75" t="n">
        <v>0.0325</v>
      </c>
      <c r="E75" t="n">
        <v>64</v>
      </c>
      <c r="F75" s="5" t="n">
        <v>28100</v>
      </c>
      <c r="G75">
        <f>MIN(65-B75, MAX(0, E75-B75))</f>
        <v/>
      </c>
      <c r="H75">
        <f>B75+G75</f>
        <v/>
      </c>
      <c r="I75" s="5">
        <f>F75*(1+D75)^G75</f>
        <v/>
      </c>
      <c r="J75">
        <f>(1+D75)/(1+Parameters!$B$5)</f>
        <v/>
      </c>
      <c r="K75" s="5">
        <f>IF(G75&gt;0, IF(ROUND(J75, 6)=1, G75 * C75 * (1+Parameters!$B$5)^-0.5, C75 * (1-J75^G75)/(1-J75) * (1+Parameters!$B$5)^-0.5), 0)</f>
        <v/>
      </c>
      <c r="L75" s="5">
        <f>K75*(1-Parameters!$B$4)</f>
        <v/>
      </c>
      <c r="M75" s="5">
        <f>L75*(1+Parameters!$B$5)^G75</f>
        <v/>
      </c>
      <c r="N75" s="5">
        <f>IF(E75&gt;=65, (65-B75)*I75/Parameters!$B$6, 0)</f>
        <v/>
      </c>
      <c r="O75">
        <f>IF(E75&gt;65, (1-(1+Parameters!$B$5)^-(E75-65))/Parameters!$B$5, 0)</f>
        <v/>
      </c>
      <c r="P75" s="5">
        <f>N75 * O75 * (1+Parameters!$B$5)^-(65-B75)</f>
        <v/>
      </c>
      <c r="Q75" s="5">
        <f>IF(AND(E75&gt;=66, E75&lt;=69), 5*N75*(1+Parameters!$B$5)^-(E75-B75), 0)</f>
        <v/>
      </c>
      <c r="R75" s="5">
        <f>IF(E75&lt;=65, L75, 0)</f>
        <v/>
      </c>
      <c r="S75" s="5">
        <f>N75 * (Parameters!$B$6 / Parameters!$B$9)</f>
        <v/>
      </c>
      <c r="T75" s="5">
        <f>P75 + Q75</f>
        <v/>
      </c>
      <c r="U75">
        <f>IF(E75&gt;65, (1-((1+Parameters!$B$10)/(1+Parameters!$B$5))^(E75-65))/(((1+Parameters!$B$5)/(1+Parameters!$B$10))-1), 0)</f>
        <v/>
      </c>
      <c r="V75" s="5">
        <f>S75 * U75 * (1+Parameters!$B$5)^-(65-B75)</f>
        <v/>
      </c>
      <c r="W75" s="5">
        <f>IF(AND(E75&gt;=66, E75&lt;=69), 5*S75*(1+Parameters!$B$5)^-(E75-B75), 0)</f>
        <v/>
      </c>
      <c r="X75" s="5">
        <f>V75 + W75 + R75</f>
        <v/>
      </c>
      <c r="Y75" s="5">
        <f>IF(E75&gt;=65, M75/S75, "")</f>
        <v/>
      </c>
    </row>
    <row r="76">
      <c r="A76" t="n">
        <v>75</v>
      </c>
      <c r="B76" t="n">
        <v>41</v>
      </c>
      <c r="C76" s="5" t="n">
        <v>6950</v>
      </c>
      <c r="D76" t="n">
        <v>0.0286</v>
      </c>
      <c r="E76" t="n">
        <v>83</v>
      </c>
      <c r="F76" s="5" t="n">
        <v>69500</v>
      </c>
      <c r="G76">
        <f>MIN(65-B76, MAX(0, E76-B76))</f>
        <v/>
      </c>
      <c r="H76">
        <f>B76+G76</f>
        <v/>
      </c>
      <c r="I76" s="5">
        <f>F76*(1+D76)^G76</f>
        <v/>
      </c>
      <c r="J76">
        <f>(1+D76)/(1+Parameters!$B$5)</f>
        <v/>
      </c>
      <c r="K76" s="5">
        <f>IF(G76&gt;0, IF(ROUND(J76, 6)=1, G76 * C76 * (1+Parameters!$B$5)^-0.5, C76 * (1-J76^G76)/(1-J76) * (1+Parameters!$B$5)^-0.5), 0)</f>
        <v/>
      </c>
      <c r="L76" s="5">
        <f>K76*(1-Parameters!$B$4)</f>
        <v/>
      </c>
      <c r="M76" s="5">
        <f>L76*(1+Parameters!$B$5)^G76</f>
        <v/>
      </c>
      <c r="N76" s="5">
        <f>IF(E76&gt;=65, (65-B76)*I76/Parameters!$B$6, 0)</f>
        <v/>
      </c>
      <c r="O76">
        <f>IF(E76&gt;65, (1-(1+Parameters!$B$5)^-(E76-65))/Parameters!$B$5, 0)</f>
        <v/>
      </c>
      <c r="P76" s="5">
        <f>N76 * O76 * (1+Parameters!$B$5)^-(65-B76)</f>
        <v/>
      </c>
      <c r="Q76" s="5">
        <f>IF(AND(E76&gt;=66, E76&lt;=69), 5*N76*(1+Parameters!$B$5)^-(E76-B76), 0)</f>
        <v/>
      </c>
      <c r="R76" s="5">
        <f>IF(E76&lt;=65, L76, 0)</f>
        <v/>
      </c>
      <c r="S76" s="5">
        <f>N76 * (Parameters!$B$6 / Parameters!$B$9)</f>
        <v/>
      </c>
      <c r="T76" s="5">
        <f>P76 + Q76</f>
        <v/>
      </c>
      <c r="U76">
        <f>IF(E76&gt;65, (1-((1+Parameters!$B$10)/(1+Parameters!$B$5))^(E76-65))/(((1+Parameters!$B$5)/(1+Parameters!$B$10))-1), 0)</f>
        <v/>
      </c>
      <c r="V76" s="5">
        <f>S76 * U76 * (1+Parameters!$B$5)^-(65-B76)</f>
        <v/>
      </c>
      <c r="W76" s="5">
        <f>IF(AND(E76&gt;=66, E76&lt;=69), 5*S76*(1+Parameters!$B$5)^-(E76-B76), 0)</f>
        <v/>
      </c>
      <c r="X76" s="5">
        <f>V76 + W76 + R76</f>
        <v/>
      </c>
      <c r="Y76" s="5">
        <f>IF(E76&gt;=65, M76/S76, "")</f>
        <v/>
      </c>
    </row>
    <row r="77">
      <c r="A77" t="n">
        <v>76</v>
      </c>
      <c r="B77" t="n">
        <v>20</v>
      </c>
      <c r="C77" s="5" t="n">
        <v>1500</v>
      </c>
      <c r="D77" t="n">
        <v>0.0432</v>
      </c>
      <c r="E77" t="n">
        <v>78</v>
      </c>
      <c r="F77" s="5" t="n">
        <v>15000</v>
      </c>
      <c r="G77">
        <f>MIN(65-B77, MAX(0, E77-B77))</f>
        <v/>
      </c>
      <c r="H77">
        <f>B77+G77</f>
        <v/>
      </c>
      <c r="I77" s="5">
        <f>F77*(1+D77)^G77</f>
        <v/>
      </c>
      <c r="J77">
        <f>(1+D77)/(1+Parameters!$B$5)</f>
        <v/>
      </c>
      <c r="K77" s="5">
        <f>IF(G77&gt;0, IF(ROUND(J77, 6)=1, G77 * C77 * (1+Parameters!$B$5)^-0.5, C77 * (1-J77^G77)/(1-J77) * (1+Parameters!$B$5)^-0.5), 0)</f>
        <v/>
      </c>
      <c r="L77" s="5">
        <f>K77*(1-Parameters!$B$4)</f>
        <v/>
      </c>
      <c r="M77" s="5">
        <f>L77*(1+Parameters!$B$5)^G77</f>
        <v/>
      </c>
      <c r="N77" s="5">
        <f>IF(E77&gt;=65, (65-B77)*I77/Parameters!$B$6, 0)</f>
        <v/>
      </c>
      <c r="O77">
        <f>IF(E77&gt;65, (1-(1+Parameters!$B$5)^-(E77-65))/Parameters!$B$5, 0)</f>
        <v/>
      </c>
      <c r="P77" s="5">
        <f>N77 * O77 * (1+Parameters!$B$5)^-(65-B77)</f>
        <v/>
      </c>
      <c r="Q77" s="5">
        <f>IF(AND(E77&gt;=66, E77&lt;=69), 5*N77*(1+Parameters!$B$5)^-(E77-B77), 0)</f>
        <v/>
      </c>
      <c r="R77" s="5">
        <f>IF(E77&lt;=65, L77, 0)</f>
        <v/>
      </c>
      <c r="S77" s="5">
        <f>N77 * (Parameters!$B$6 / Parameters!$B$9)</f>
        <v/>
      </c>
      <c r="T77" s="5">
        <f>P77 + Q77</f>
        <v/>
      </c>
      <c r="U77">
        <f>IF(E77&gt;65, (1-((1+Parameters!$B$10)/(1+Parameters!$B$5))^(E77-65))/(((1+Parameters!$B$5)/(1+Parameters!$B$10))-1), 0)</f>
        <v/>
      </c>
      <c r="V77" s="5">
        <f>S77 * U77 * (1+Parameters!$B$5)^-(65-B77)</f>
        <v/>
      </c>
      <c r="W77" s="5">
        <f>IF(AND(E77&gt;=66, E77&lt;=69), 5*S77*(1+Parameters!$B$5)^-(E77-B77), 0)</f>
        <v/>
      </c>
      <c r="X77" s="5">
        <f>V77 + W77 + R77</f>
        <v/>
      </c>
      <c r="Y77" s="5">
        <f>IF(E77&gt;=65, M77/S77, "")</f>
        <v/>
      </c>
    </row>
    <row r="78">
      <c r="A78" t="n">
        <v>77</v>
      </c>
      <c r="B78" t="n">
        <v>55</v>
      </c>
      <c r="C78" s="5" t="n">
        <v>1360</v>
      </c>
      <c r="D78" t="n">
        <v>0.0109</v>
      </c>
      <c r="E78" t="n">
        <v>78</v>
      </c>
      <c r="F78" s="5" t="n">
        <v>13600</v>
      </c>
      <c r="G78">
        <f>MIN(65-B78, MAX(0, E78-B78))</f>
        <v/>
      </c>
      <c r="H78">
        <f>B78+G78</f>
        <v/>
      </c>
      <c r="I78" s="5">
        <f>F78*(1+D78)^G78</f>
        <v/>
      </c>
      <c r="J78">
        <f>(1+D78)/(1+Parameters!$B$5)</f>
        <v/>
      </c>
      <c r="K78" s="5">
        <f>IF(G78&gt;0, IF(ROUND(J78, 6)=1, G78 * C78 * (1+Parameters!$B$5)^-0.5, C78 * (1-J78^G78)/(1-J78) * (1+Parameters!$B$5)^-0.5), 0)</f>
        <v/>
      </c>
      <c r="L78" s="5">
        <f>K78*(1-Parameters!$B$4)</f>
        <v/>
      </c>
      <c r="M78" s="5">
        <f>L78*(1+Parameters!$B$5)^G78</f>
        <v/>
      </c>
      <c r="N78" s="5">
        <f>IF(E78&gt;=65, (65-B78)*I78/Parameters!$B$6, 0)</f>
        <v/>
      </c>
      <c r="O78">
        <f>IF(E78&gt;65, (1-(1+Parameters!$B$5)^-(E78-65))/Parameters!$B$5, 0)</f>
        <v/>
      </c>
      <c r="P78" s="5">
        <f>N78 * O78 * (1+Parameters!$B$5)^-(65-B78)</f>
        <v/>
      </c>
      <c r="Q78" s="5">
        <f>IF(AND(E78&gt;=66, E78&lt;=69), 5*N78*(1+Parameters!$B$5)^-(E78-B78), 0)</f>
        <v/>
      </c>
      <c r="R78" s="5">
        <f>IF(E78&lt;=65, L78, 0)</f>
        <v/>
      </c>
      <c r="S78" s="5">
        <f>N78 * (Parameters!$B$6 / Parameters!$B$9)</f>
        <v/>
      </c>
      <c r="T78" s="5">
        <f>P78 + Q78</f>
        <v/>
      </c>
      <c r="U78">
        <f>IF(E78&gt;65, (1-((1+Parameters!$B$10)/(1+Parameters!$B$5))^(E78-65))/(((1+Parameters!$B$5)/(1+Parameters!$B$10))-1), 0)</f>
        <v/>
      </c>
      <c r="V78" s="5">
        <f>S78 * U78 * (1+Parameters!$B$5)^-(65-B78)</f>
        <v/>
      </c>
      <c r="W78" s="5">
        <f>IF(AND(E78&gt;=66, E78&lt;=69), 5*S78*(1+Parameters!$B$5)^-(E78-B78), 0)</f>
        <v/>
      </c>
      <c r="X78" s="5">
        <f>V78 + W78 + R78</f>
        <v/>
      </c>
      <c r="Y78" s="5">
        <f>IF(E78&gt;=65, M78/S78, "")</f>
        <v/>
      </c>
    </row>
    <row r="79">
      <c r="A79" t="n">
        <v>78</v>
      </c>
      <c r="B79" t="n">
        <v>57</v>
      </c>
      <c r="C79" s="5" t="n">
        <v>16020</v>
      </c>
      <c r="D79" t="n">
        <v>0.0451</v>
      </c>
      <c r="E79" t="n">
        <v>66</v>
      </c>
      <c r="F79" s="5" t="n">
        <v>160200</v>
      </c>
      <c r="G79">
        <f>MIN(65-B79, MAX(0, E79-B79))</f>
        <v/>
      </c>
      <c r="H79">
        <f>B79+G79</f>
        <v/>
      </c>
      <c r="I79" s="5">
        <f>F79*(1+D79)^G79</f>
        <v/>
      </c>
      <c r="J79">
        <f>(1+D79)/(1+Parameters!$B$5)</f>
        <v/>
      </c>
      <c r="K79" s="5">
        <f>IF(G79&gt;0, IF(ROUND(J79, 6)=1, G79 * C79 * (1+Parameters!$B$5)^-0.5, C79 * (1-J79^G79)/(1-J79) * (1+Parameters!$B$5)^-0.5), 0)</f>
        <v/>
      </c>
      <c r="L79" s="5">
        <f>K79*(1-Parameters!$B$4)</f>
        <v/>
      </c>
      <c r="M79" s="5">
        <f>L79*(1+Parameters!$B$5)^G79</f>
        <v/>
      </c>
      <c r="N79" s="5">
        <f>IF(E79&gt;=65, (65-B79)*I79/Parameters!$B$6, 0)</f>
        <v/>
      </c>
      <c r="O79">
        <f>IF(E79&gt;65, (1-(1+Parameters!$B$5)^-(E79-65))/Parameters!$B$5, 0)</f>
        <v/>
      </c>
      <c r="P79" s="5">
        <f>N79 * O79 * (1+Parameters!$B$5)^-(65-B79)</f>
        <v/>
      </c>
      <c r="Q79" s="5">
        <f>IF(AND(E79&gt;=66, E79&lt;=69), 5*N79*(1+Parameters!$B$5)^-(E79-B79), 0)</f>
        <v/>
      </c>
      <c r="R79" s="5">
        <f>IF(E79&lt;=65, L79, 0)</f>
        <v/>
      </c>
      <c r="S79" s="5">
        <f>N79 * (Parameters!$B$6 / Parameters!$B$9)</f>
        <v/>
      </c>
      <c r="T79" s="5">
        <f>P79 + Q79</f>
        <v/>
      </c>
      <c r="U79">
        <f>IF(E79&gt;65, (1-((1+Parameters!$B$10)/(1+Parameters!$B$5))^(E79-65))/(((1+Parameters!$B$5)/(1+Parameters!$B$10))-1), 0)</f>
        <v/>
      </c>
      <c r="V79" s="5">
        <f>S79 * U79 * (1+Parameters!$B$5)^-(65-B79)</f>
        <v/>
      </c>
      <c r="W79" s="5">
        <f>IF(AND(E79&gt;=66, E79&lt;=69), 5*S79*(1+Parameters!$B$5)^-(E79-B79), 0)</f>
        <v/>
      </c>
      <c r="X79" s="5">
        <f>V79 + W79 + R79</f>
        <v/>
      </c>
      <c r="Y79" s="5">
        <f>IF(E79&gt;=65, M79/S79, "")</f>
        <v/>
      </c>
    </row>
    <row r="80">
      <c r="A80" t="n">
        <v>79</v>
      </c>
      <c r="B80" t="n">
        <v>38</v>
      </c>
      <c r="C80" s="5" t="n">
        <v>1070</v>
      </c>
      <c r="D80" t="n">
        <v>0.046</v>
      </c>
      <c r="E80" t="n">
        <v>90</v>
      </c>
      <c r="F80" s="5" t="n">
        <v>10700</v>
      </c>
      <c r="G80">
        <f>MIN(65-B80, MAX(0, E80-B80))</f>
        <v/>
      </c>
      <c r="H80">
        <f>B80+G80</f>
        <v/>
      </c>
      <c r="I80" s="5">
        <f>F80*(1+D80)^G80</f>
        <v/>
      </c>
      <c r="J80">
        <f>(1+D80)/(1+Parameters!$B$5)</f>
        <v/>
      </c>
      <c r="K80" s="5">
        <f>IF(G80&gt;0, IF(ROUND(J80, 6)=1, G80 * C80 * (1+Parameters!$B$5)^-0.5, C80 * (1-J80^G80)/(1-J80) * (1+Parameters!$B$5)^-0.5), 0)</f>
        <v/>
      </c>
      <c r="L80" s="5">
        <f>K80*(1-Parameters!$B$4)</f>
        <v/>
      </c>
      <c r="M80" s="5">
        <f>L80*(1+Parameters!$B$5)^G80</f>
        <v/>
      </c>
      <c r="N80" s="5">
        <f>IF(E80&gt;=65, (65-B80)*I80/Parameters!$B$6, 0)</f>
        <v/>
      </c>
      <c r="O80">
        <f>IF(E80&gt;65, (1-(1+Parameters!$B$5)^-(E80-65))/Parameters!$B$5, 0)</f>
        <v/>
      </c>
      <c r="P80" s="5">
        <f>N80 * O80 * (1+Parameters!$B$5)^-(65-B80)</f>
        <v/>
      </c>
      <c r="Q80" s="5">
        <f>IF(AND(E80&gt;=66, E80&lt;=69), 5*N80*(1+Parameters!$B$5)^-(E80-B80), 0)</f>
        <v/>
      </c>
      <c r="R80" s="5">
        <f>IF(E80&lt;=65, L80, 0)</f>
        <v/>
      </c>
      <c r="S80" s="5">
        <f>N80 * (Parameters!$B$6 / Parameters!$B$9)</f>
        <v/>
      </c>
      <c r="T80" s="5">
        <f>P80 + Q80</f>
        <v/>
      </c>
      <c r="U80">
        <f>IF(E80&gt;65, (1-((1+Parameters!$B$10)/(1+Parameters!$B$5))^(E80-65))/(((1+Parameters!$B$5)/(1+Parameters!$B$10))-1), 0)</f>
        <v/>
      </c>
      <c r="V80" s="5">
        <f>S80 * U80 * (1+Parameters!$B$5)^-(65-B80)</f>
        <v/>
      </c>
      <c r="W80" s="5">
        <f>IF(AND(E80&gt;=66, E80&lt;=69), 5*S80*(1+Parameters!$B$5)^-(E80-B80), 0)</f>
        <v/>
      </c>
      <c r="X80" s="5">
        <f>V80 + W80 + R80</f>
        <v/>
      </c>
      <c r="Y80" s="5">
        <f>IF(E80&gt;=65, M80/S80, "")</f>
        <v/>
      </c>
    </row>
    <row r="81">
      <c r="A81" t="n">
        <v>80</v>
      </c>
      <c r="B81" t="n">
        <v>36</v>
      </c>
      <c r="C81" s="5" t="n">
        <v>6050</v>
      </c>
      <c r="D81" t="n">
        <v>0.0208</v>
      </c>
      <c r="E81" t="n">
        <v>79</v>
      </c>
      <c r="F81" s="5" t="n">
        <v>60500</v>
      </c>
      <c r="G81">
        <f>MIN(65-B81, MAX(0, E81-B81))</f>
        <v/>
      </c>
      <c r="H81">
        <f>B81+G81</f>
        <v/>
      </c>
      <c r="I81" s="5">
        <f>F81*(1+D81)^G81</f>
        <v/>
      </c>
      <c r="J81">
        <f>(1+D81)/(1+Parameters!$B$5)</f>
        <v/>
      </c>
      <c r="K81" s="5">
        <f>IF(G81&gt;0, IF(ROUND(J81, 6)=1, G81 * C81 * (1+Parameters!$B$5)^-0.5, C81 * (1-J81^G81)/(1-J81) * (1+Parameters!$B$5)^-0.5), 0)</f>
        <v/>
      </c>
      <c r="L81" s="5">
        <f>K81*(1-Parameters!$B$4)</f>
        <v/>
      </c>
      <c r="M81" s="5">
        <f>L81*(1+Parameters!$B$5)^G81</f>
        <v/>
      </c>
      <c r="N81" s="5">
        <f>IF(E81&gt;=65, (65-B81)*I81/Parameters!$B$6, 0)</f>
        <v/>
      </c>
      <c r="O81">
        <f>IF(E81&gt;65, (1-(1+Parameters!$B$5)^-(E81-65))/Parameters!$B$5, 0)</f>
        <v/>
      </c>
      <c r="P81" s="5">
        <f>N81 * O81 * (1+Parameters!$B$5)^-(65-B81)</f>
        <v/>
      </c>
      <c r="Q81" s="5">
        <f>IF(AND(E81&gt;=66, E81&lt;=69), 5*N81*(1+Parameters!$B$5)^-(E81-B81), 0)</f>
        <v/>
      </c>
      <c r="R81" s="5">
        <f>IF(E81&lt;=65, L81, 0)</f>
        <v/>
      </c>
      <c r="S81" s="5">
        <f>N81 * (Parameters!$B$6 / Parameters!$B$9)</f>
        <v/>
      </c>
      <c r="T81" s="5">
        <f>P81 + Q81</f>
        <v/>
      </c>
      <c r="U81">
        <f>IF(E81&gt;65, (1-((1+Parameters!$B$10)/(1+Parameters!$B$5))^(E81-65))/(((1+Parameters!$B$5)/(1+Parameters!$B$10))-1), 0)</f>
        <v/>
      </c>
      <c r="V81" s="5">
        <f>S81 * U81 * (1+Parameters!$B$5)^-(65-B81)</f>
        <v/>
      </c>
      <c r="W81" s="5">
        <f>IF(AND(E81&gt;=66, E81&lt;=69), 5*S81*(1+Parameters!$B$5)^-(E81-B81), 0)</f>
        <v/>
      </c>
      <c r="X81" s="5">
        <f>V81 + W81 + R81</f>
        <v/>
      </c>
      <c r="Y81" s="5">
        <f>IF(E81&gt;=65, M81/S81, "")</f>
        <v/>
      </c>
    </row>
    <row r="82">
      <c r="A82" t="n">
        <v>81</v>
      </c>
      <c r="B82" t="n">
        <v>24</v>
      </c>
      <c r="C82" s="5" t="n">
        <v>2120</v>
      </c>
      <c r="D82" t="n">
        <v>0.0406</v>
      </c>
      <c r="E82" t="n">
        <v>87</v>
      </c>
      <c r="F82" s="5" t="n">
        <v>21200</v>
      </c>
      <c r="G82">
        <f>MIN(65-B82, MAX(0, E82-B82))</f>
        <v/>
      </c>
      <c r="H82">
        <f>B82+G82</f>
        <v/>
      </c>
      <c r="I82" s="5">
        <f>F82*(1+D82)^G82</f>
        <v/>
      </c>
      <c r="J82">
        <f>(1+D82)/(1+Parameters!$B$5)</f>
        <v/>
      </c>
      <c r="K82" s="5">
        <f>IF(G82&gt;0, IF(ROUND(J82, 6)=1, G82 * C82 * (1+Parameters!$B$5)^-0.5, C82 * (1-J82^G82)/(1-J82) * (1+Parameters!$B$5)^-0.5), 0)</f>
        <v/>
      </c>
      <c r="L82" s="5">
        <f>K82*(1-Parameters!$B$4)</f>
        <v/>
      </c>
      <c r="M82" s="5">
        <f>L82*(1+Parameters!$B$5)^G82</f>
        <v/>
      </c>
      <c r="N82" s="5">
        <f>IF(E82&gt;=65, (65-B82)*I82/Parameters!$B$6, 0)</f>
        <v/>
      </c>
      <c r="O82">
        <f>IF(E82&gt;65, (1-(1+Parameters!$B$5)^-(E82-65))/Parameters!$B$5, 0)</f>
        <v/>
      </c>
      <c r="P82" s="5">
        <f>N82 * O82 * (1+Parameters!$B$5)^-(65-B82)</f>
        <v/>
      </c>
      <c r="Q82" s="5">
        <f>IF(AND(E82&gt;=66, E82&lt;=69), 5*N82*(1+Parameters!$B$5)^-(E82-B82), 0)</f>
        <v/>
      </c>
      <c r="R82" s="5">
        <f>IF(E82&lt;=65, L82, 0)</f>
        <v/>
      </c>
      <c r="S82" s="5">
        <f>N82 * (Parameters!$B$6 / Parameters!$B$9)</f>
        <v/>
      </c>
      <c r="T82" s="5">
        <f>P82 + Q82</f>
        <v/>
      </c>
      <c r="U82">
        <f>IF(E82&gt;65, (1-((1+Parameters!$B$10)/(1+Parameters!$B$5))^(E82-65))/(((1+Parameters!$B$5)/(1+Parameters!$B$10))-1), 0)</f>
        <v/>
      </c>
      <c r="V82" s="5">
        <f>S82 * U82 * (1+Parameters!$B$5)^-(65-B82)</f>
        <v/>
      </c>
      <c r="W82" s="5">
        <f>IF(AND(E82&gt;=66, E82&lt;=69), 5*S82*(1+Parameters!$B$5)^-(E82-B82), 0)</f>
        <v/>
      </c>
      <c r="X82" s="5">
        <f>V82 + W82 + R82</f>
        <v/>
      </c>
      <c r="Y82" s="5">
        <f>IF(E82&gt;=65, M82/S82, "")</f>
        <v/>
      </c>
    </row>
    <row r="83">
      <c r="A83" t="n">
        <v>82</v>
      </c>
      <c r="B83" t="n">
        <v>24</v>
      </c>
      <c r="C83" s="5" t="n">
        <v>2290</v>
      </c>
      <c r="D83" t="n">
        <v>0.0564</v>
      </c>
      <c r="E83" t="n">
        <v>77</v>
      </c>
      <c r="F83" s="5" t="n">
        <v>22900</v>
      </c>
      <c r="G83">
        <f>MIN(65-B83, MAX(0, E83-B83))</f>
        <v/>
      </c>
      <c r="H83">
        <f>B83+G83</f>
        <v/>
      </c>
      <c r="I83" s="5">
        <f>F83*(1+D83)^G83</f>
        <v/>
      </c>
      <c r="J83">
        <f>(1+D83)/(1+Parameters!$B$5)</f>
        <v/>
      </c>
      <c r="K83" s="5">
        <f>IF(G83&gt;0, IF(ROUND(J83, 6)=1, G83 * C83 * (1+Parameters!$B$5)^-0.5, C83 * (1-J83^G83)/(1-J83) * (1+Parameters!$B$5)^-0.5), 0)</f>
        <v/>
      </c>
      <c r="L83" s="5">
        <f>K83*(1-Parameters!$B$4)</f>
        <v/>
      </c>
      <c r="M83" s="5">
        <f>L83*(1+Parameters!$B$5)^G83</f>
        <v/>
      </c>
      <c r="N83" s="5">
        <f>IF(E83&gt;=65, (65-B83)*I83/Parameters!$B$6, 0)</f>
        <v/>
      </c>
      <c r="O83">
        <f>IF(E83&gt;65, (1-(1+Parameters!$B$5)^-(E83-65))/Parameters!$B$5, 0)</f>
        <v/>
      </c>
      <c r="P83" s="5">
        <f>N83 * O83 * (1+Parameters!$B$5)^-(65-B83)</f>
        <v/>
      </c>
      <c r="Q83" s="5">
        <f>IF(AND(E83&gt;=66, E83&lt;=69), 5*N83*(1+Parameters!$B$5)^-(E83-B83), 0)</f>
        <v/>
      </c>
      <c r="R83" s="5">
        <f>IF(E83&lt;=65, L83, 0)</f>
        <v/>
      </c>
      <c r="S83" s="5">
        <f>N83 * (Parameters!$B$6 / Parameters!$B$9)</f>
        <v/>
      </c>
      <c r="T83" s="5">
        <f>P83 + Q83</f>
        <v/>
      </c>
      <c r="U83">
        <f>IF(E83&gt;65, (1-((1+Parameters!$B$10)/(1+Parameters!$B$5))^(E83-65))/(((1+Parameters!$B$5)/(1+Parameters!$B$10))-1), 0)</f>
        <v/>
      </c>
      <c r="V83" s="5">
        <f>S83 * U83 * (1+Parameters!$B$5)^-(65-B83)</f>
        <v/>
      </c>
      <c r="W83" s="5">
        <f>IF(AND(E83&gt;=66, E83&lt;=69), 5*S83*(1+Parameters!$B$5)^-(E83-B83), 0)</f>
        <v/>
      </c>
      <c r="X83" s="5">
        <f>V83 + W83 + R83</f>
        <v/>
      </c>
      <c r="Y83" s="5">
        <f>IF(E83&gt;=65, M83/S83, "")</f>
        <v/>
      </c>
    </row>
    <row r="84">
      <c r="A84" t="n">
        <v>83</v>
      </c>
      <c r="B84" t="n">
        <v>23</v>
      </c>
      <c r="C84" s="5" t="n">
        <v>1610</v>
      </c>
      <c r="D84" t="n">
        <v>0.0149</v>
      </c>
      <c r="E84" t="n">
        <v>84</v>
      </c>
      <c r="F84" s="5" t="n">
        <v>16100</v>
      </c>
      <c r="G84">
        <f>MIN(65-B84, MAX(0, E84-B84))</f>
        <v/>
      </c>
      <c r="H84">
        <f>B84+G84</f>
        <v/>
      </c>
      <c r="I84" s="5">
        <f>F84*(1+D84)^G84</f>
        <v/>
      </c>
      <c r="J84">
        <f>(1+D84)/(1+Parameters!$B$5)</f>
        <v/>
      </c>
      <c r="K84" s="5">
        <f>IF(G84&gt;0, IF(ROUND(J84, 6)=1, G84 * C84 * (1+Parameters!$B$5)^-0.5, C84 * (1-J84^G84)/(1-J84) * (1+Parameters!$B$5)^-0.5), 0)</f>
        <v/>
      </c>
      <c r="L84" s="5">
        <f>K84*(1-Parameters!$B$4)</f>
        <v/>
      </c>
      <c r="M84" s="5">
        <f>L84*(1+Parameters!$B$5)^G84</f>
        <v/>
      </c>
      <c r="N84" s="5">
        <f>IF(E84&gt;=65, (65-B84)*I84/Parameters!$B$6, 0)</f>
        <v/>
      </c>
      <c r="O84">
        <f>IF(E84&gt;65, (1-(1+Parameters!$B$5)^-(E84-65))/Parameters!$B$5, 0)</f>
        <v/>
      </c>
      <c r="P84" s="5">
        <f>N84 * O84 * (1+Parameters!$B$5)^-(65-B84)</f>
        <v/>
      </c>
      <c r="Q84" s="5">
        <f>IF(AND(E84&gt;=66, E84&lt;=69), 5*N84*(1+Parameters!$B$5)^-(E84-B84), 0)</f>
        <v/>
      </c>
      <c r="R84" s="5">
        <f>IF(E84&lt;=65, L84, 0)</f>
        <v/>
      </c>
      <c r="S84" s="5">
        <f>N84 * (Parameters!$B$6 / Parameters!$B$9)</f>
        <v/>
      </c>
      <c r="T84" s="5">
        <f>P84 + Q84</f>
        <v/>
      </c>
      <c r="U84">
        <f>IF(E84&gt;65, (1-((1+Parameters!$B$10)/(1+Parameters!$B$5))^(E84-65))/(((1+Parameters!$B$5)/(1+Parameters!$B$10))-1), 0)</f>
        <v/>
      </c>
      <c r="V84" s="5">
        <f>S84 * U84 * (1+Parameters!$B$5)^-(65-B84)</f>
        <v/>
      </c>
      <c r="W84" s="5">
        <f>IF(AND(E84&gt;=66, E84&lt;=69), 5*S84*(1+Parameters!$B$5)^-(E84-B84), 0)</f>
        <v/>
      </c>
      <c r="X84" s="5">
        <f>V84 + W84 + R84</f>
        <v/>
      </c>
      <c r="Y84" s="5">
        <f>IF(E84&gt;=65, M84/S84, "")</f>
        <v/>
      </c>
    </row>
    <row r="85">
      <c r="A85" t="n">
        <v>84</v>
      </c>
      <c r="B85" t="n">
        <v>44</v>
      </c>
      <c r="C85" s="5" t="n">
        <v>6580</v>
      </c>
      <c r="D85" t="n">
        <v>0.0381</v>
      </c>
      <c r="E85" t="n">
        <v>80</v>
      </c>
      <c r="F85" s="5" t="n">
        <v>65800</v>
      </c>
      <c r="G85">
        <f>MIN(65-B85, MAX(0, E85-B85))</f>
        <v/>
      </c>
      <c r="H85">
        <f>B85+G85</f>
        <v/>
      </c>
      <c r="I85" s="5">
        <f>F85*(1+D85)^G85</f>
        <v/>
      </c>
      <c r="J85">
        <f>(1+D85)/(1+Parameters!$B$5)</f>
        <v/>
      </c>
      <c r="K85" s="5">
        <f>IF(G85&gt;0, IF(ROUND(J85, 6)=1, G85 * C85 * (1+Parameters!$B$5)^-0.5, C85 * (1-J85^G85)/(1-J85) * (1+Parameters!$B$5)^-0.5), 0)</f>
        <v/>
      </c>
      <c r="L85" s="5">
        <f>K85*(1-Parameters!$B$4)</f>
        <v/>
      </c>
      <c r="M85" s="5">
        <f>L85*(1+Parameters!$B$5)^G85</f>
        <v/>
      </c>
      <c r="N85" s="5">
        <f>IF(E85&gt;=65, (65-B85)*I85/Parameters!$B$6, 0)</f>
        <v/>
      </c>
      <c r="O85">
        <f>IF(E85&gt;65, (1-(1+Parameters!$B$5)^-(E85-65))/Parameters!$B$5, 0)</f>
        <v/>
      </c>
      <c r="P85" s="5">
        <f>N85 * O85 * (1+Parameters!$B$5)^-(65-B85)</f>
        <v/>
      </c>
      <c r="Q85" s="5">
        <f>IF(AND(E85&gt;=66, E85&lt;=69), 5*N85*(1+Parameters!$B$5)^-(E85-B85), 0)</f>
        <v/>
      </c>
      <c r="R85" s="5">
        <f>IF(E85&lt;=65, L85, 0)</f>
        <v/>
      </c>
      <c r="S85" s="5">
        <f>N85 * (Parameters!$B$6 / Parameters!$B$9)</f>
        <v/>
      </c>
      <c r="T85" s="5">
        <f>P85 + Q85</f>
        <v/>
      </c>
      <c r="U85">
        <f>IF(E85&gt;65, (1-((1+Parameters!$B$10)/(1+Parameters!$B$5))^(E85-65))/(((1+Parameters!$B$5)/(1+Parameters!$B$10))-1), 0)</f>
        <v/>
      </c>
      <c r="V85" s="5">
        <f>S85 * U85 * (1+Parameters!$B$5)^-(65-B85)</f>
        <v/>
      </c>
      <c r="W85" s="5">
        <f>IF(AND(E85&gt;=66, E85&lt;=69), 5*S85*(1+Parameters!$B$5)^-(E85-B85), 0)</f>
        <v/>
      </c>
      <c r="X85" s="5">
        <f>V85 + W85 + R85</f>
        <v/>
      </c>
      <c r="Y85" s="5">
        <f>IF(E85&gt;=65, M85/S85, "")</f>
        <v/>
      </c>
    </row>
    <row r="86">
      <c r="A86" t="n">
        <v>85</v>
      </c>
      <c r="B86" t="n">
        <v>48</v>
      </c>
      <c r="C86" s="5" t="n">
        <v>6370</v>
      </c>
      <c r="D86" t="n">
        <v>0.0218</v>
      </c>
      <c r="E86" t="n">
        <v>86</v>
      </c>
      <c r="F86" s="5" t="n">
        <v>63700</v>
      </c>
      <c r="G86">
        <f>MIN(65-B86, MAX(0, E86-B86))</f>
        <v/>
      </c>
      <c r="H86">
        <f>B86+G86</f>
        <v/>
      </c>
      <c r="I86" s="5">
        <f>F86*(1+D86)^G86</f>
        <v/>
      </c>
      <c r="J86">
        <f>(1+D86)/(1+Parameters!$B$5)</f>
        <v/>
      </c>
      <c r="K86" s="5">
        <f>IF(G86&gt;0, IF(ROUND(J86, 6)=1, G86 * C86 * (1+Parameters!$B$5)^-0.5, C86 * (1-J86^G86)/(1-J86) * (1+Parameters!$B$5)^-0.5), 0)</f>
        <v/>
      </c>
      <c r="L86" s="5">
        <f>K86*(1-Parameters!$B$4)</f>
        <v/>
      </c>
      <c r="M86" s="5">
        <f>L86*(1+Parameters!$B$5)^G86</f>
        <v/>
      </c>
      <c r="N86" s="5">
        <f>IF(E86&gt;=65, (65-B86)*I86/Parameters!$B$6, 0)</f>
        <v/>
      </c>
      <c r="O86">
        <f>IF(E86&gt;65, (1-(1+Parameters!$B$5)^-(E86-65))/Parameters!$B$5, 0)</f>
        <v/>
      </c>
      <c r="P86" s="5">
        <f>N86 * O86 * (1+Parameters!$B$5)^-(65-B86)</f>
        <v/>
      </c>
      <c r="Q86" s="5">
        <f>IF(AND(E86&gt;=66, E86&lt;=69), 5*N86*(1+Parameters!$B$5)^-(E86-B86), 0)</f>
        <v/>
      </c>
      <c r="R86" s="5">
        <f>IF(E86&lt;=65, L86, 0)</f>
        <v/>
      </c>
      <c r="S86" s="5">
        <f>N86 * (Parameters!$B$6 / Parameters!$B$9)</f>
        <v/>
      </c>
      <c r="T86" s="5">
        <f>P86 + Q86</f>
        <v/>
      </c>
      <c r="U86">
        <f>IF(E86&gt;65, (1-((1+Parameters!$B$10)/(1+Parameters!$B$5))^(E86-65))/(((1+Parameters!$B$5)/(1+Parameters!$B$10))-1), 0)</f>
        <v/>
      </c>
      <c r="V86" s="5">
        <f>S86 * U86 * (1+Parameters!$B$5)^-(65-B86)</f>
        <v/>
      </c>
      <c r="W86" s="5">
        <f>IF(AND(E86&gt;=66, E86&lt;=69), 5*S86*(1+Parameters!$B$5)^-(E86-B86), 0)</f>
        <v/>
      </c>
      <c r="X86" s="5">
        <f>V86 + W86 + R86</f>
        <v/>
      </c>
      <c r="Y86" s="5">
        <f>IF(E86&gt;=65, M86/S86, "")</f>
        <v/>
      </c>
    </row>
    <row r="87">
      <c r="A87" t="n">
        <v>86</v>
      </c>
      <c r="B87" t="n">
        <v>23</v>
      </c>
      <c r="C87" s="5" t="n">
        <v>1650</v>
      </c>
      <c r="D87" t="n">
        <v>0.0226</v>
      </c>
      <c r="E87" t="n">
        <v>97</v>
      </c>
      <c r="F87" s="5" t="n">
        <v>16500</v>
      </c>
      <c r="G87">
        <f>MIN(65-B87, MAX(0, E87-B87))</f>
        <v/>
      </c>
      <c r="H87">
        <f>B87+G87</f>
        <v/>
      </c>
      <c r="I87" s="5">
        <f>F87*(1+D87)^G87</f>
        <v/>
      </c>
      <c r="J87">
        <f>(1+D87)/(1+Parameters!$B$5)</f>
        <v/>
      </c>
      <c r="K87" s="5">
        <f>IF(G87&gt;0, IF(ROUND(J87, 6)=1, G87 * C87 * (1+Parameters!$B$5)^-0.5, C87 * (1-J87^G87)/(1-J87) * (1+Parameters!$B$5)^-0.5), 0)</f>
        <v/>
      </c>
      <c r="L87" s="5">
        <f>K87*(1-Parameters!$B$4)</f>
        <v/>
      </c>
      <c r="M87" s="5">
        <f>L87*(1+Parameters!$B$5)^G87</f>
        <v/>
      </c>
      <c r="N87" s="5">
        <f>IF(E87&gt;=65, (65-B87)*I87/Parameters!$B$6, 0)</f>
        <v/>
      </c>
      <c r="O87">
        <f>IF(E87&gt;65, (1-(1+Parameters!$B$5)^-(E87-65))/Parameters!$B$5, 0)</f>
        <v/>
      </c>
      <c r="P87" s="5">
        <f>N87 * O87 * (1+Parameters!$B$5)^-(65-B87)</f>
        <v/>
      </c>
      <c r="Q87" s="5">
        <f>IF(AND(E87&gt;=66, E87&lt;=69), 5*N87*(1+Parameters!$B$5)^-(E87-B87), 0)</f>
        <v/>
      </c>
      <c r="R87" s="5">
        <f>IF(E87&lt;=65, L87, 0)</f>
        <v/>
      </c>
      <c r="S87" s="5">
        <f>N87 * (Parameters!$B$6 / Parameters!$B$9)</f>
        <v/>
      </c>
      <c r="T87" s="5">
        <f>P87 + Q87</f>
        <v/>
      </c>
      <c r="U87">
        <f>IF(E87&gt;65, (1-((1+Parameters!$B$10)/(1+Parameters!$B$5))^(E87-65))/(((1+Parameters!$B$5)/(1+Parameters!$B$10))-1), 0)</f>
        <v/>
      </c>
      <c r="V87" s="5">
        <f>S87 * U87 * (1+Parameters!$B$5)^-(65-B87)</f>
        <v/>
      </c>
      <c r="W87" s="5">
        <f>IF(AND(E87&gt;=66, E87&lt;=69), 5*S87*(1+Parameters!$B$5)^-(E87-B87), 0)</f>
        <v/>
      </c>
      <c r="X87" s="5">
        <f>V87 + W87 + R87</f>
        <v/>
      </c>
      <c r="Y87" s="5">
        <f>IF(E87&gt;=65, M87/S87, "")</f>
        <v/>
      </c>
    </row>
    <row r="88">
      <c r="A88" t="n">
        <v>87</v>
      </c>
      <c r="B88" t="n">
        <v>33</v>
      </c>
      <c r="C88" s="5" t="n">
        <v>4060</v>
      </c>
      <c r="D88" t="n">
        <v>0.0382</v>
      </c>
      <c r="E88" t="n">
        <v>78</v>
      </c>
      <c r="F88" s="5" t="n">
        <v>40600</v>
      </c>
      <c r="G88">
        <f>MIN(65-B88, MAX(0, E88-B88))</f>
        <v/>
      </c>
      <c r="H88">
        <f>B88+G88</f>
        <v/>
      </c>
      <c r="I88" s="5">
        <f>F88*(1+D88)^G88</f>
        <v/>
      </c>
      <c r="J88">
        <f>(1+D88)/(1+Parameters!$B$5)</f>
        <v/>
      </c>
      <c r="K88" s="5">
        <f>IF(G88&gt;0, IF(ROUND(J88, 6)=1, G88 * C88 * (1+Parameters!$B$5)^-0.5, C88 * (1-J88^G88)/(1-J88) * (1+Parameters!$B$5)^-0.5), 0)</f>
        <v/>
      </c>
      <c r="L88" s="5">
        <f>K88*(1-Parameters!$B$4)</f>
        <v/>
      </c>
      <c r="M88" s="5">
        <f>L88*(1+Parameters!$B$5)^G88</f>
        <v/>
      </c>
      <c r="N88" s="5">
        <f>IF(E88&gt;=65, (65-B88)*I88/Parameters!$B$6, 0)</f>
        <v/>
      </c>
      <c r="O88">
        <f>IF(E88&gt;65, (1-(1+Parameters!$B$5)^-(E88-65))/Parameters!$B$5, 0)</f>
        <v/>
      </c>
      <c r="P88" s="5">
        <f>N88 * O88 * (1+Parameters!$B$5)^-(65-B88)</f>
        <v/>
      </c>
      <c r="Q88" s="5">
        <f>IF(AND(E88&gt;=66, E88&lt;=69), 5*N88*(1+Parameters!$B$5)^-(E88-B88), 0)</f>
        <v/>
      </c>
      <c r="R88" s="5">
        <f>IF(E88&lt;=65, L88, 0)</f>
        <v/>
      </c>
      <c r="S88" s="5">
        <f>N88 * (Parameters!$B$6 / Parameters!$B$9)</f>
        <v/>
      </c>
      <c r="T88" s="5">
        <f>P88 + Q88</f>
        <v/>
      </c>
      <c r="U88">
        <f>IF(E88&gt;65, (1-((1+Parameters!$B$10)/(1+Parameters!$B$5))^(E88-65))/(((1+Parameters!$B$5)/(1+Parameters!$B$10))-1), 0)</f>
        <v/>
      </c>
      <c r="V88" s="5">
        <f>S88 * U88 * (1+Parameters!$B$5)^-(65-B88)</f>
        <v/>
      </c>
      <c r="W88" s="5">
        <f>IF(AND(E88&gt;=66, E88&lt;=69), 5*S88*(1+Parameters!$B$5)^-(E88-B88), 0)</f>
        <v/>
      </c>
      <c r="X88" s="5">
        <f>V88 + W88 + R88</f>
        <v/>
      </c>
      <c r="Y88" s="5">
        <f>IF(E88&gt;=65, M88/S88, "")</f>
        <v/>
      </c>
    </row>
    <row r="89">
      <c r="A89" t="n">
        <v>88</v>
      </c>
      <c r="B89" t="n">
        <v>40</v>
      </c>
      <c r="C89" s="5" t="n">
        <v>3500</v>
      </c>
      <c r="D89" t="n">
        <v>0.0352</v>
      </c>
      <c r="E89" t="n">
        <v>79</v>
      </c>
      <c r="F89" s="5" t="n">
        <v>35000</v>
      </c>
      <c r="G89">
        <f>MIN(65-B89, MAX(0, E89-B89))</f>
        <v/>
      </c>
      <c r="H89">
        <f>B89+G89</f>
        <v/>
      </c>
      <c r="I89" s="5">
        <f>F89*(1+D89)^G89</f>
        <v/>
      </c>
      <c r="J89">
        <f>(1+D89)/(1+Parameters!$B$5)</f>
        <v/>
      </c>
      <c r="K89" s="5">
        <f>IF(G89&gt;0, IF(ROUND(J89, 6)=1, G89 * C89 * (1+Parameters!$B$5)^-0.5, C89 * (1-J89^G89)/(1-J89) * (1+Parameters!$B$5)^-0.5), 0)</f>
        <v/>
      </c>
      <c r="L89" s="5">
        <f>K89*(1-Parameters!$B$4)</f>
        <v/>
      </c>
      <c r="M89" s="5">
        <f>L89*(1+Parameters!$B$5)^G89</f>
        <v/>
      </c>
      <c r="N89" s="5">
        <f>IF(E89&gt;=65, (65-B89)*I89/Parameters!$B$6, 0)</f>
        <v/>
      </c>
      <c r="O89">
        <f>IF(E89&gt;65, (1-(1+Parameters!$B$5)^-(E89-65))/Parameters!$B$5, 0)</f>
        <v/>
      </c>
      <c r="P89" s="5">
        <f>N89 * O89 * (1+Parameters!$B$5)^-(65-B89)</f>
        <v/>
      </c>
      <c r="Q89" s="5">
        <f>IF(AND(E89&gt;=66, E89&lt;=69), 5*N89*(1+Parameters!$B$5)^-(E89-B89), 0)</f>
        <v/>
      </c>
      <c r="R89" s="5">
        <f>IF(E89&lt;=65, L89, 0)</f>
        <v/>
      </c>
      <c r="S89" s="5">
        <f>N89 * (Parameters!$B$6 / Parameters!$B$9)</f>
        <v/>
      </c>
      <c r="T89" s="5">
        <f>P89 + Q89</f>
        <v/>
      </c>
      <c r="U89">
        <f>IF(E89&gt;65, (1-((1+Parameters!$B$10)/(1+Parameters!$B$5))^(E89-65))/(((1+Parameters!$B$5)/(1+Parameters!$B$10))-1), 0)</f>
        <v/>
      </c>
      <c r="V89" s="5">
        <f>S89 * U89 * (1+Parameters!$B$5)^-(65-B89)</f>
        <v/>
      </c>
      <c r="W89" s="5">
        <f>IF(AND(E89&gt;=66, E89&lt;=69), 5*S89*(1+Parameters!$B$5)^-(E89-B89), 0)</f>
        <v/>
      </c>
      <c r="X89" s="5">
        <f>V89 + W89 + R89</f>
        <v/>
      </c>
      <c r="Y89" s="5">
        <f>IF(E89&gt;=65, M89/S89, "")</f>
        <v/>
      </c>
    </row>
    <row r="90">
      <c r="A90" t="n">
        <v>89</v>
      </c>
      <c r="B90" t="n">
        <v>50</v>
      </c>
      <c r="C90" s="5" t="n">
        <v>1220</v>
      </c>
      <c r="D90" t="n">
        <v>0.0134</v>
      </c>
      <c r="E90" t="n">
        <v>78</v>
      </c>
      <c r="F90" s="5" t="n">
        <v>12200</v>
      </c>
      <c r="G90">
        <f>MIN(65-B90, MAX(0, E90-B90))</f>
        <v/>
      </c>
      <c r="H90">
        <f>B90+G90</f>
        <v/>
      </c>
      <c r="I90" s="5">
        <f>F90*(1+D90)^G90</f>
        <v/>
      </c>
      <c r="J90">
        <f>(1+D90)/(1+Parameters!$B$5)</f>
        <v/>
      </c>
      <c r="K90" s="5">
        <f>IF(G90&gt;0, IF(ROUND(J90, 6)=1, G90 * C90 * (1+Parameters!$B$5)^-0.5, C90 * (1-J90^G90)/(1-J90) * (1+Parameters!$B$5)^-0.5), 0)</f>
        <v/>
      </c>
      <c r="L90" s="5">
        <f>K90*(1-Parameters!$B$4)</f>
        <v/>
      </c>
      <c r="M90" s="5">
        <f>L90*(1+Parameters!$B$5)^G90</f>
        <v/>
      </c>
      <c r="N90" s="5">
        <f>IF(E90&gt;=65, (65-B90)*I90/Parameters!$B$6, 0)</f>
        <v/>
      </c>
      <c r="O90">
        <f>IF(E90&gt;65, (1-(1+Parameters!$B$5)^-(E90-65))/Parameters!$B$5, 0)</f>
        <v/>
      </c>
      <c r="P90" s="5">
        <f>N90 * O90 * (1+Parameters!$B$5)^-(65-B90)</f>
        <v/>
      </c>
      <c r="Q90" s="5">
        <f>IF(AND(E90&gt;=66, E90&lt;=69), 5*N90*(1+Parameters!$B$5)^-(E90-B90), 0)</f>
        <v/>
      </c>
      <c r="R90" s="5">
        <f>IF(E90&lt;=65, L90, 0)</f>
        <v/>
      </c>
      <c r="S90" s="5">
        <f>N90 * (Parameters!$B$6 / Parameters!$B$9)</f>
        <v/>
      </c>
      <c r="T90" s="5">
        <f>P90 + Q90</f>
        <v/>
      </c>
      <c r="U90">
        <f>IF(E90&gt;65, (1-((1+Parameters!$B$10)/(1+Parameters!$B$5))^(E90-65))/(((1+Parameters!$B$5)/(1+Parameters!$B$10))-1), 0)</f>
        <v/>
      </c>
      <c r="V90" s="5">
        <f>S90 * U90 * (1+Parameters!$B$5)^-(65-B90)</f>
        <v/>
      </c>
      <c r="W90" s="5">
        <f>IF(AND(E90&gt;=66, E90&lt;=69), 5*S90*(1+Parameters!$B$5)^-(E90-B90), 0)</f>
        <v/>
      </c>
      <c r="X90" s="5">
        <f>V90 + W90 + R90</f>
        <v/>
      </c>
      <c r="Y90" s="5">
        <f>IF(E90&gt;=65, M90/S90, "")</f>
        <v/>
      </c>
    </row>
    <row r="91">
      <c r="A91" t="n">
        <v>90</v>
      </c>
      <c r="B91" t="n">
        <v>23</v>
      </c>
      <c r="C91" s="5" t="n">
        <v>2080</v>
      </c>
      <c r="D91" t="n">
        <v>0.054</v>
      </c>
      <c r="E91" t="n">
        <v>77</v>
      </c>
      <c r="F91" s="5" t="n">
        <v>20800</v>
      </c>
      <c r="G91">
        <f>MIN(65-B91, MAX(0, E91-B91))</f>
        <v/>
      </c>
      <c r="H91">
        <f>B91+G91</f>
        <v/>
      </c>
      <c r="I91" s="5">
        <f>F91*(1+D91)^G91</f>
        <v/>
      </c>
      <c r="J91">
        <f>(1+D91)/(1+Parameters!$B$5)</f>
        <v/>
      </c>
      <c r="K91" s="5">
        <f>IF(G91&gt;0, IF(ROUND(J91, 6)=1, G91 * C91 * (1+Parameters!$B$5)^-0.5, C91 * (1-J91^G91)/(1-J91) * (1+Parameters!$B$5)^-0.5), 0)</f>
        <v/>
      </c>
      <c r="L91" s="5">
        <f>K91*(1-Parameters!$B$4)</f>
        <v/>
      </c>
      <c r="M91" s="5">
        <f>L91*(1+Parameters!$B$5)^G91</f>
        <v/>
      </c>
      <c r="N91" s="5">
        <f>IF(E91&gt;=65, (65-B91)*I91/Parameters!$B$6, 0)</f>
        <v/>
      </c>
      <c r="O91">
        <f>IF(E91&gt;65, (1-(1+Parameters!$B$5)^-(E91-65))/Parameters!$B$5, 0)</f>
        <v/>
      </c>
      <c r="P91" s="5">
        <f>N91 * O91 * (1+Parameters!$B$5)^-(65-B91)</f>
        <v/>
      </c>
      <c r="Q91" s="5">
        <f>IF(AND(E91&gt;=66, E91&lt;=69), 5*N91*(1+Parameters!$B$5)^-(E91-B91), 0)</f>
        <v/>
      </c>
      <c r="R91" s="5">
        <f>IF(E91&lt;=65, L91, 0)</f>
        <v/>
      </c>
      <c r="S91" s="5">
        <f>N91 * (Parameters!$B$6 / Parameters!$B$9)</f>
        <v/>
      </c>
      <c r="T91" s="5">
        <f>P91 + Q91</f>
        <v/>
      </c>
      <c r="U91">
        <f>IF(E91&gt;65, (1-((1+Parameters!$B$10)/(1+Parameters!$B$5))^(E91-65))/(((1+Parameters!$B$5)/(1+Parameters!$B$10))-1), 0)</f>
        <v/>
      </c>
      <c r="V91" s="5">
        <f>S91 * U91 * (1+Parameters!$B$5)^-(65-B91)</f>
        <v/>
      </c>
      <c r="W91" s="5">
        <f>IF(AND(E91&gt;=66, E91&lt;=69), 5*S91*(1+Parameters!$B$5)^-(E91-B91), 0)</f>
        <v/>
      </c>
      <c r="X91" s="5">
        <f>V91 + W91 + R91</f>
        <v/>
      </c>
      <c r="Y91" s="5">
        <f>IF(E91&gt;=65, M91/S91, "")</f>
        <v/>
      </c>
    </row>
    <row r="92">
      <c r="A92" t="n">
        <v>91</v>
      </c>
      <c r="B92" t="n">
        <v>23</v>
      </c>
      <c r="C92" s="5" t="n">
        <v>1230</v>
      </c>
      <c r="D92" t="n">
        <v>0.0479</v>
      </c>
      <c r="E92" t="n">
        <v>79</v>
      </c>
      <c r="F92" s="5" t="n">
        <v>12300</v>
      </c>
      <c r="G92">
        <f>MIN(65-B92, MAX(0, E92-B92))</f>
        <v/>
      </c>
      <c r="H92">
        <f>B92+G92</f>
        <v/>
      </c>
      <c r="I92" s="5">
        <f>F92*(1+D92)^G92</f>
        <v/>
      </c>
      <c r="J92">
        <f>(1+D92)/(1+Parameters!$B$5)</f>
        <v/>
      </c>
      <c r="K92" s="5">
        <f>IF(G92&gt;0, IF(ROUND(J92, 6)=1, G92 * C92 * (1+Parameters!$B$5)^-0.5, C92 * (1-J92^G92)/(1-J92) * (1+Parameters!$B$5)^-0.5), 0)</f>
        <v/>
      </c>
      <c r="L92" s="5">
        <f>K92*(1-Parameters!$B$4)</f>
        <v/>
      </c>
      <c r="M92" s="5">
        <f>L92*(1+Parameters!$B$5)^G92</f>
        <v/>
      </c>
      <c r="N92" s="5">
        <f>IF(E92&gt;=65, (65-B92)*I92/Parameters!$B$6, 0)</f>
        <v/>
      </c>
      <c r="O92">
        <f>IF(E92&gt;65, (1-(1+Parameters!$B$5)^-(E92-65))/Parameters!$B$5, 0)</f>
        <v/>
      </c>
      <c r="P92" s="5">
        <f>N92 * O92 * (1+Parameters!$B$5)^-(65-B92)</f>
        <v/>
      </c>
      <c r="Q92" s="5">
        <f>IF(AND(E92&gt;=66, E92&lt;=69), 5*N92*(1+Parameters!$B$5)^-(E92-B92), 0)</f>
        <v/>
      </c>
      <c r="R92" s="5">
        <f>IF(E92&lt;=65, L92, 0)</f>
        <v/>
      </c>
      <c r="S92" s="5">
        <f>N92 * (Parameters!$B$6 / Parameters!$B$9)</f>
        <v/>
      </c>
      <c r="T92" s="5">
        <f>P92 + Q92</f>
        <v/>
      </c>
      <c r="U92">
        <f>IF(E92&gt;65, (1-((1+Parameters!$B$10)/(1+Parameters!$B$5))^(E92-65))/(((1+Parameters!$B$5)/(1+Parameters!$B$10))-1), 0)</f>
        <v/>
      </c>
      <c r="V92" s="5">
        <f>S92 * U92 * (1+Parameters!$B$5)^-(65-B92)</f>
        <v/>
      </c>
      <c r="W92" s="5">
        <f>IF(AND(E92&gt;=66, E92&lt;=69), 5*S92*(1+Parameters!$B$5)^-(E92-B92), 0)</f>
        <v/>
      </c>
      <c r="X92" s="5">
        <f>V92 + W92 + R92</f>
        <v/>
      </c>
      <c r="Y92" s="5">
        <f>IF(E92&gt;=65, M92/S92, "")</f>
        <v/>
      </c>
    </row>
    <row r="93">
      <c r="A93" t="n">
        <v>92</v>
      </c>
      <c r="B93" t="n">
        <v>34</v>
      </c>
      <c r="C93" s="5" t="n">
        <v>5360</v>
      </c>
      <c r="D93" t="n">
        <v>0.0138</v>
      </c>
      <c r="E93" t="n">
        <v>85</v>
      </c>
      <c r="F93" s="5" t="n">
        <v>53600</v>
      </c>
      <c r="G93">
        <f>MIN(65-B93, MAX(0, E93-B93))</f>
        <v/>
      </c>
      <c r="H93">
        <f>B93+G93</f>
        <v/>
      </c>
      <c r="I93" s="5">
        <f>F93*(1+D93)^G93</f>
        <v/>
      </c>
      <c r="J93">
        <f>(1+D93)/(1+Parameters!$B$5)</f>
        <v/>
      </c>
      <c r="K93" s="5">
        <f>IF(G93&gt;0, IF(ROUND(J93, 6)=1, G93 * C93 * (1+Parameters!$B$5)^-0.5, C93 * (1-J93^G93)/(1-J93) * (1+Parameters!$B$5)^-0.5), 0)</f>
        <v/>
      </c>
      <c r="L93" s="5">
        <f>K93*(1-Parameters!$B$4)</f>
        <v/>
      </c>
      <c r="M93" s="5">
        <f>L93*(1+Parameters!$B$5)^G93</f>
        <v/>
      </c>
      <c r="N93" s="5">
        <f>IF(E93&gt;=65, (65-B93)*I93/Parameters!$B$6, 0)</f>
        <v/>
      </c>
      <c r="O93">
        <f>IF(E93&gt;65, (1-(1+Parameters!$B$5)^-(E93-65))/Parameters!$B$5, 0)</f>
        <v/>
      </c>
      <c r="P93" s="5">
        <f>N93 * O93 * (1+Parameters!$B$5)^-(65-B93)</f>
        <v/>
      </c>
      <c r="Q93" s="5">
        <f>IF(AND(E93&gt;=66, E93&lt;=69), 5*N93*(1+Parameters!$B$5)^-(E93-B93), 0)</f>
        <v/>
      </c>
      <c r="R93" s="5">
        <f>IF(E93&lt;=65, L93, 0)</f>
        <v/>
      </c>
      <c r="S93" s="5">
        <f>N93 * (Parameters!$B$6 / Parameters!$B$9)</f>
        <v/>
      </c>
      <c r="T93" s="5">
        <f>P93 + Q93</f>
        <v/>
      </c>
      <c r="U93">
        <f>IF(E93&gt;65, (1-((1+Parameters!$B$10)/(1+Parameters!$B$5))^(E93-65))/(((1+Parameters!$B$5)/(1+Parameters!$B$10))-1), 0)</f>
        <v/>
      </c>
      <c r="V93" s="5">
        <f>S93 * U93 * (1+Parameters!$B$5)^-(65-B93)</f>
        <v/>
      </c>
      <c r="W93" s="5">
        <f>IF(AND(E93&gt;=66, E93&lt;=69), 5*S93*(1+Parameters!$B$5)^-(E93-B93), 0)</f>
        <v/>
      </c>
      <c r="X93" s="5">
        <f>V93 + W93 + R93</f>
        <v/>
      </c>
      <c r="Y93" s="5">
        <f>IF(E93&gt;=65, M93/S93, "")</f>
        <v/>
      </c>
    </row>
    <row r="94">
      <c r="A94" t="n">
        <v>93</v>
      </c>
      <c r="B94" t="n">
        <v>59</v>
      </c>
      <c r="C94" s="5" t="n">
        <v>8640</v>
      </c>
      <c r="D94" t="n">
        <v>0.0151</v>
      </c>
      <c r="E94" t="n">
        <v>87</v>
      </c>
      <c r="F94" s="5" t="n">
        <v>86400</v>
      </c>
      <c r="G94">
        <f>MIN(65-B94, MAX(0, E94-B94))</f>
        <v/>
      </c>
      <c r="H94">
        <f>B94+G94</f>
        <v/>
      </c>
      <c r="I94" s="5">
        <f>F94*(1+D94)^G94</f>
        <v/>
      </c>
      <c r="J94">
        <f>(1+D94)/(1+Parameters!$B$5)</f>
        <v/>
      </c>
      <c r="K94" s="5">
        <f>IF(G94&gt;0, IF(ROUND(J94, 6)=1, G94 * C94 * (1+Parameters!$B$5)^-0.5, C94 * (1-J94^G94)/(1-J94) * (1+Parameters!$B$5)^-0.5), 0)</f>
        <v/>
      </c>
      <c r="L94" s="5">
        <f>K94*(1-Parameters!$B$4)</f>
        <v/>
      </c>
      <c r="M94" s="5">
        <f>L94*(1+Parameters!$B$5)^G94</f>
        <v/>
      </c>
      <c r="N94" s="5">
        <f>IF(E94&gt;=65, (65-B94)*I94/Parameters!$B$6, 0)</f>
        <v/>
      </c>
      <c r="O94">
        <f>IF(E94&gt;65, (1-(1+Parameters!$B$5)^-(E94-65))/Parameters!$B$5, 0)</f>
        <v/>
      </c>
      <c r="P94" s="5">
        <f>N94 * O94 * (1+Parameters!$B$5)^-(65-B94)</f>
        <v/>
      </c>
      <c r="Q94" s="5">
        <f>IF(AND(E94&gt;=66, E94&lt;=69), 5*N94*(1+Parameters!$B$5)^-(E94-B94), 0)</f>
        <v/>
      </c>
      <c r="R94" s="5">
        <f>IF(E94&lt;=65, L94, 0)</f>
        <v/>
      </c>
      <c r="S94" s="5">
        <f>N94 * (Parameters!$B$6 / Parameters!$B$9)</f>
        <v/>
      </c>
      <c r="T94" s="5">
        <f>P94 + Q94</f>
        <v/>
      </c>
      <c r="U94">
        <f>IF(E94&gt;65, (1-((1+Parameters!$B$10)/(1+Parameters!$B$5))^(E94-65))/(((1+Parameters!$B$5)/(1+Parameters!$B$10))-1), 0)</f>
        <v/>
      </c>
      <c r="V94" s="5">
        <f>S94 * U94 * (1+Parameters!$B$5)^-(65-B94)</f>
        <v/>
      </c>
      <c r="W94" s="5">
        <f>IF(AND(E94&gt;=66, E94&lt;=69), 5*S94*(1+Parameters!$B$5)^-(E94-B94), 0)</f>
        <v/>
      </c>
      <c r="X94" s="5">
        <f>V94 + W94 + R94</f>
        <v/>
      </c>
      <c r="Y94" s="5">
        <f>IF(E94&gt;=65, M94/S94, "")</f>
        <v/>
      </c>
    </row>
    <row r="95">
      <c r="A95" t="n">
        <v>94</v>
      </c>
      <c r="B95" t="n">
        <v>59</v>
      </c>
      <c r="C95" s="5" t="n">
        <v>9330</v>
      </c>
      <c r="D95" t="n">
        <v>0.0288</v>
      </c>
      <c r="E95" t="n">
        <v>79</v>
      </c>
      <c r="F95" s="5" t="n">
        <v>93300</v>
      </c>
      <c r="G95">
        <f>MIN(65-B95, MAX(0, E95-B95))</f>
        <v/>
      </c>
      <c r="H95">
        <f>B95+G95</f>
        <v/>
      </c>
      <c r="I95" s="5">
        <f>F95*(1+D95)^G95</f>
        <v/>
      </c>
      <c r="J95">
        <f>(1+D95)/(1+Parameters!$B$5)</f>
        <v/>
      </c>
      <c r="K95" s="5">
        <f>IF(G95&gt;0, IF(ROUND(J95, 6)=1, G95 * C95 * (1+Parameters!$B$5)^-0.5, C95 * (1-J95^G95)/(1-J95) * (1+Parameters!$B$5)^-0.5), 0)</f>
        <v/>
      </c>
      <c r="L95" s="5">
        <f>K95*(1-Parameters!$B$4)</f>
        <v/>
      </c>
      <c r="M95" s="5">
        <f>L95*(1+Parameters!$B$5)^G95</f>
        <v/>
      </c>
      <c r="N95" s="5">
        <f>IF(E95&gt;=65, (65-B95)*I95/Parameters!$B$6, 0)</f>
        <v/>
      </c>
      <c r="O95">
        <f>IF(E95&gt;65, (1-(1+Parameters!$B$5)^-(E95-65))/Parameters!$B$5, 0)</f>
        <v/>
      </c>
      <c r="P95" s="5">
        <f>N95 * O95 * (1+Parameters!$B$5)^-(65-B95)</f>
        <v/>
      </c>
      <c r="Q95" s="5">
        <f>IF(AND(E95&gt;=66, E95&lt;=69), 5*N95*(1+Parameters!$B$5)^-(E95-B95), 0)</f>
        <v/>
      </c>
      <c r="R95" s="5">
        <f>IF(E95&lt;=65, L95, 0)</f>
        <v/>
      </c>
      <c r="S95" s="5">
        <f>N95 * (Parameters!$B$6 / Parameters!$B$9)</f>
        <v/>
      </c>
      <c r="T95" s="5">
        <f>P95 + Q95</f>
        <v/>
      </c>
      <c r="U95">
        <f>IF(E95&gt;65, (1-((1+Parameters!$B$10)/(1+Parameters!$B$5))^(E95-65))/(((1+Parameters!$B$5)/(1+Parameters!$B$10))-1), 0)</f>
        <v/>
      </c>
      <c r="V95" s="5">
        <f>S95 * U95 * (1+Parameters!$B$5)^-(65-B95)</f>
        <v/>
      </c>
      <c r="W95" s="5">
        <f>IF(AND(E95&gt;=66, E95&lt;=69), 5*S95*(1+Parameters!$B$5)^-(E95-B95), 0)</f>
        <v/>
      </c>
      <c r="X95" s="5">
        <f>V95 + W95 + R95</f>
        <v/>
      </c>
      <c r="Y95" s="5">
        <f>IF(E95&gt;=65, M95/S95, "")</f>
        <v/>
      </c>
    </row>
    <row r="96">
      <c r="A96" t="n">
        <v>95</v>
      </c>
      <c r="B96" t="n">
        <v>45</v>
      </c>
      <c r="C96" s="5" t="n">
        <v>6480</v>
      </c>
      <c r="D96" t="n">
        <v>0.046</v>
      </c>
      <c r="E96" t="n">
        <v>78</v>
      </c>
      <c r="F96" s="5" t="n">
        <v>64800</v>
      </c>
      <c r="G96">
        <f>MIN(65-B96, MAX(0, E96-B96))</f>
        <v/>
      </c>
      <c r="H96">
        <f>B96+G96</f>
        <v/>
      </c>
      <c r="I96" s="5">
        <f>F96*(1+D96)^G96</f>
        <v/>
      </c>
      <c r="J96">
        <f>(1+D96)/(1+Parameters!$B$5)</f>
        <v/>
      </c>
      <c r="K96" s="5">
        <f>IF(G96&gt;0, IF(ROUND(J96, 6)=1, G96 * C96 * (1+Parameters!$B$5)^-0.5, C96 * (1-J96^G96)/(1-J96) * (1+Parameters!$B$5)^-0.5), 0)</f>
        <v/>
      </c>
      <c r="L96" s="5">
        <f>K96*(1-Parameters!$B$4)</f>
        <v/>
      </c>
      <c r="M96" s="5">
        <f>L96*(1+Parameters!$B$5)^G96</f>
        <v/>
      </c>
      <c r="N96" s="5">
        <f>IF(E96&gt;=65, (65-B96)*I96/Parameters!$B$6, 0)</f>
        <v/>
      </c>
      <c r="O96">
        <f>IF(E96&gt;65, (1-(1+Parameters!$B$5)^-(E96-65))/Parameters!$B$5, 0)</f>
        <v/>
      </c>
      <c r="P96" s="5">
        <f>N96 * O96 * (1+Parameters!$B$5)^-(65-B96)</f>
        <v/>
      </c>
      <c r="Q96" s="5">
        <f>IF(AND(E96&gt;=66, E96&lt;=69), 5*N96*(1+Parameters!$B$5)^-(E96-B96), 0)</f>
        <v/>
      </c>
      <c r="R96" s="5">
        <f>IF(E96&lt;=65, L96, 0)</f>
        <v/>
      </c>
      <c r="S96" s="5">
        <f>N96 * (Parameters!$B$6 / Parameters!$B$9)</f>
        <v/>
      </c>
      <c r="T96" s="5">
        <f>P96 + Q96</f>
        <v/>
      </c>
      <c r="U96">
        <f>IF(E96&gt;65, (1-((1+Parameters!$B$10)/(1+Parameters!$B$5))^(E96-65))/(((1+Parameters!$B$5)/(1+Parameters!$B$10))-1), 0)</f>
        <v/>
      </c>
      <c r="V96" s="5">
        <f>S96 * U96 * (1+Parameters!$B$5)^-(65-B96)</f>
        <v/>
      </c>
      <c r="W96" s="5">
        <f>IF(AND(E96&gt;=66, E96&lt;=69), 5*S96*(1+Parameters!$B$5)^-(E96-B96), 0)</f>
        <v/>
      </c>
      <c r="X96" s="5">
        <f>V96 + W96 + R96</f>
        <v/>
      </c>
      <c r="Y96" s="5">
        <f>IF(E96&gt;=65, M96/S96, "")</f>
        <v/>
      </c>
    </row>
    <row r="97">
      <c r="A97" t="n">
        <v>96</v>
      </c>
      <c r="B97" t="n">
        <v>46</v>
      </c>
      <c r="C97" s="5" t="n">
        <v>10870</v>
      </c>
      <c r="D97" t="n">
        <v>0.0072</v>
      </c>
      <c r="E97" t="n">
        <v>80</v>
      </c>
      <c r="F97" s="5" t="n">
        <v>108700</v>
      </c>
      <c r="G97">
        <f>MIN(65-B97, MAX(0, E97-B97))</f>
        <v/>
      </c>
      <c r="H97">
        <f>B97+G97</f>
        <v/>
      </c>
      <c r="I97" s="5">
        <f>F97*(1+D97)^G97</f>
        <v/>
      </c>
      <c r="J97">
        <f>(1+D97)/(1+Parameters!$B$5)</f>
        <v/>
      </c>
      <c r="K97" s="5">
        <f>IF(G97&gt;0, IF(ROUND(J97, 6)=1, G97 * C97 * (1+Parameters!$B$5)^-0.5, C97 * (1-J97^G97)/(1-J97) * (1+Parameters!$B$5)^-0.5), 0)</f>
        <v/>
      </c>
      <c r="L97" s="5">
        <f>K97*(1-Parameters!$B$4)</f>
        <v/>
      </c>
      <c r="M97" s="5">
        <f>L97*(1+Parameters!$B$5)^G97</f>
        <v/>
      </c>
      <c r="N97" s="5">
        <f>IF(E97&gt;=65, (65-B97)*I97/Parameters!$B$6, 0)</f>
        <v/>
      </c>
      <c r="O97">
        <f>IF(E97&gt;65, (1-(1+Parameters!$B$5)^-(E97-65))/Parameters!$B$5, 0)</f>
        <v/>
      </c>
      <c r="P97" s="5">
        <f>N97 * O97 * (1+Parameters!$B$5)^-(65-B97)</f>
        <v/>
      </c>
      <c r="Q97" s="5">
        <f>IF(AND(E97&gt;=66, E97&lt;=69), 5*N97*(1+Parameters!$B$5)^-(E97-B97), 0)</f>
        <v/>
      </c>
      <c r="R97" s="5">
        <f>IF(E97&lt;=65, L97, 0)</f>
        <v/>
      </c>
      <c r="S97" s="5">
        <f>N97 * (Parameters!$B$6 / Parameters!$B$9)</f>
        <v/>
      </c>
      <c r="T97" s="5">
        <f>P97 + Q97</f>
        <v/>
      </c>
      <c r="U97">
        <f>IF(E97&gt;65, (1-((1+Parameters!$B$10)/(1+Parameters!$B$5))^(E97-65))/(((1+Parameters!$B$5)/(1+Parameters!$B$10))-1), 0)</f>
        <v/>
      </c>
      <c r="V97" s="5">
        <f>S97 * U97 * (1+Parameters!$B$5)^-(65-B97)</f>
        <v/>
      </c>
      <c r="W97" s="5">
        <f>IF(AND(E97&gt;=66, E97&lt;=69), 5*S97*(1+Parameters!$B$5)^-(E97-B97), 0)</f>
        <v/>
      </c>
      <c r="X97" s="5">
        <f>V97 + W97 + R97</f>
        <v/>
      </c>
      <c r="Y97" s="5">
        <f>IF(E97&gt;=65, M97/S97, "")</f>
        <v/>
      </c>
    </row>
    <row r="98">
      <c r="A98" t="n">
        <v>97</v>
      </c>
      <c r="B98" t="n">
        <v>53</v>
      </c>
      <c r="C98" s="5" t="n">
        <v>2850</v>
      </c>
      <c r="D98" t="n">
        <v>0.0348</v>
      </c>
      <c r="E98" t="n">
        <v>67</v>
      </c>
      <c r="F98" s="5" t="n">
        <v>28500</v>
      </c>
      <c r="G98">
        <f>MIN(65-B98, MAX(0, E98-B98))</f>
        <v/>
      </c>
      <c r="H98">
        <f>B98+G98</f>
        <v/>
      </c>
      <c r="I98" s="5">
        <f>F98*(1+D98)^G98</f>
        <v/>
      </c>
      <c r="J98">
        <f>(1+D98)/(1+Parameters!$B$5)</f>
        <v/>
      </c>
      <c r="K98" s="5">
        <f>IF(G98&gt;0, IF(ROUND(J98, 6)=1, G98 * C98 * (1+Parameters!$B$5)^-0.5, C98 * (1-J98^G98)/(1-J98) * (1+Parameters!$B$5)^-0.5), 0)</f>
        <v/>
      </c>
      <c r="L98" s="5">
        <f>K98*(1-Parameters!$B$4)</f>
        <v/>
      </c>
      <c r="M98" s="5">
        <f>L98*(1+Parameters!$B$5)^G98</f>
        <v/>
      </c>
      <c r="N98" s="5">
        <f>IF(E98&gt;=65, (65-B98)*I98/Parameters!$B$6, 0)</f>
        <v/>
      </c>
      <c r="O98">
        <f>IF(E98&gt;65, (1-(1+Parameters!$B$5)^-(E98-65))/Parameters!$B$5, 0)</f>
        <v/>
      </c>
      <c r="P98" s="5">
        <f>N98 * O98 * (1+Parameters!$B$5)^-(65-B98)</f>
        <v/>
      </c>
      <c r="Q98" s="5">
        <f>IF(AND(E98&gt;=66, E98&lt;=69), 5*N98*(1+Parameters!$B$5)^-(E98-B98), 0)</f>
        <v/>
      </c>
      <c r="R98" s="5">
        <f>IF(E98&lt;=65, L98, 0)</f>
        <v/>
      </c>
      <c r="S98" s="5">
        <f>N98 * (Parameters!$B$6 / Parameters!$B$9)</f>
        <v/>
      </c>
      <c r="T98" s="5">
        <f>P98 + Q98</f>
        <v/>
      </c>
      <c r="U98">
        <f>IF(E98&gt;65, (1-((1+Parameters!$B$10)/(1+Parameters!$B$5))^(E98-65))/(((1+Parameters!$B$5)/(1+Parameters!$B$10))-1), 0)</f>
        <v/>
      </c>
      <c r="V98" s="5">
        <f>S98 * U98 * (1+Parameters!$B$5)^-(65-B98)</f>
        <v/>
      </c>
      <c r="W98" s="5">
        <f>IF(AND(E98&gt;=66, E98&lt;=69), 5*S98*(1+Parameters!$B$5)^-(E98-B98), 0)</f>
        <v/>
      </c>
      <c r="X98" s="5">
        <f>V98 + W98 + R98</f>
        <v/>
      </c>
      <c r="Y98" s="5">
        <f>IF(E98&gt;=65, M98/S98, "")</f>
        <v/>
      </c>
    </row>
    <row r="99">
      <c r="A99" t="n">
        <v>98</v>
      </c>
      <c r="B99" t="n">
        <v>46</v>
      </c>
      <c r="C99" s="5" t="n">
        <v>7300</v>
      </c>
      <c r="D99" t="n">
        <v>0.0218</v>
      </c>
      <c r="E99" t="n">
        <v>78</v>
      </c>
      <c r="F99" s="5" t="n">
        <v>73000</v>
      </c>
      <c r="G99">
        <f>MIN(65-B99, MAX(0, E99-B99))</f>
        <v/>
      </c>
      <c r="H99">
        <f>B99+G99</f>
        <v/>
      </c>
      <c r="I99" s="5">
        <f>F99*(1+D99)^G99</f>
        <v/>
      </c>
      <c r="J99">
        <f>(1+D99)/(1+Parameters!$B$5)</f>
        <v/>
      </c>
      <c r="K99" s="5">
        <f>IF(G99&gt;0, IF(ROUND(J99, 6)=1, G99 * C99 * (1+Parameters!$B$5)^-0.5, C99 * (1-J99^G99)/(1-J99) * (1+Parameters!$B$5)^-0.5), 0)</f>
        <v/>
      </c>
      <c r="L99" s="5">
        <f>K99*(1-Parameters!$B$4)</f>
        <v/>
      </c>
      <c r="M99" s="5">
        <f>L99*(1+Parameters!$B$5)^G99</f>
        <v/>
      </c>
      <c r="N99" s="5">
        <f>IF(E99&gt;=65, (65-B99)*I99/Parameters!$B$6, 0)</f>
        <v/>
      </c>
      <c r="O99">
        <f>IF(E99&gt;65, (1-(1+Parameters!$B$5)^-(E99-65))/Parameters!$B$5, 0)</f>
        <v/>
      </c>
      <c r="P99" s="5">
        <f>N99 * O99 * (1+Parameters!$B$5)^-(65-B99)</f>
        <v/>
      </c>
      <c r="Q99" s="5">
        <f>IF(AND(E99&gt;=66, E99&lt;=69), 5*N99*(1+Parameters!$B$5)^-(E99-B99), 0)</f>
        <v/>
      </c>
      <c r="R99" s="5">
        <f>IF(E99&lt;=65, L99, 0)</f>
        <v/>
      </c>
      <c r="S99" s="5">
        <f>N99 * (Parameters!$B$6 / Parameters!$B$9)</f>
        <v/>
      </c>
      <c r="T99" s="5">
        <f>P99 + Q99</f>
        <v/>
      </c>
      <c r="U99">
        <f>IF(E99&gt;65, (1-((1+Parameters!$B$10)/(1+Parameters!$B$5))^(E99-65))/(((1+Parameters!$B$5)/(1+Parameters!$B$10))-1), 0)</f>
        <v/>
      </c>
      <c r="V99" s="5">
        <f>S99 * U99 * (1+Parameters!$B$5)^-(65-B99)</f>
        <v/>
      </c>
      <c r="W99" s="5">
        <f>IF(AND(E99&gt;=66, E99&lt;=69), 5*S99*(1+Parameters!$B$5)^-(E99-B99), 0)</f>
        <v/>
      </c>
      <c r="X99" s="5">
        <f>V99 + W99 + R99</f>
        <v/>
      </c>
      <c r="Y99" s="5">
        <f>IF(E99&gt;=65, M99/S99, "")</f>
        <v/>
      </c>
    </row>
    <row r="100">
      <c r="A100" t="n">
        <v>99</v>
      </c>
      <c r="B100" t="n">
        <v>48</v>
      </c>
      <c r="C100" s="5" t="n">
        <v>1890</v>
      </c>
      <c r="D100" t="n">
        <v>0.0286</v>
      </c>
      <c r="E100" t="n">
        <v>77</v>
      </c>
      <c r="F100" s="5" t="n">
        <v>18900</v>
      </c>
      <c r="G100">
        <f>MIN(65-B100, MAX(0, E100-B100))</f>
        <v/>
      </c>
      <c r="H100">
        <f>B100+G100</f>
        <v/>
      </c>
      <c r="I100" s="5">
        <f>F100*(1+D100)^G100</f>
        <v/>
      </c>
      <c r="J100">
        <f>(1+D100)/(1+Parameters!$B$5)</f>
        <v/>
      </c>
      <c r="K100" s="5">
        <f>IF(G100&gt;0, IF(ROUND(J100, 6)=1, G100 * C100 * (1+Parameters!$B$5)^-0.5, C100 * (1-J100^G100)/(1-J100) * (1+Parameters!$B$5)^-0.5), 0)</f>
        <v/>
      </c>
      <c r="L100" s="5">
        <f>K100*(1-Parameters!$B$4)</f>
        <v/>
      </c>
      <c r="M100" s="5">
        <f>L100*(1+Parameters!$B$5)^G100</f>
        <v/>
      </c>
      <c r="N100" s="5">
        <f>IF(E100&gt;=65, (65-B100)*I100/Parameters!$B$6, 0)</f>
        <v/>
      </c>
      <c r="O100">
        <f>IF(E100&gt;65, (1-(1+Parameters!$B$5)^-(E100-65))/Parameters!$B$5, 0)</f>
        <v/>
      </c>
      <c r="P100" s="5">
        <f>N100 * O100 * (1+Parameters!$B$5)^-(65-B100)</f>
        <v/>
      </c>
      <c r="Q100" s="5">
        <f>IF(AND(E100&gt;=66, E100&lt;=69), 5*N100*(1+Parameters!$B$5)^-(E100-B100), 0)</f>
        <v/>
      </c>
      <c r="R100" s="5">
        <f>IF(E100&lt;=65, L100, 0)</f>
        <v/>
      </c>
      <c r="S100" s="5">
        <f>N100 * (Parameters!$B$6 / Parameters!$B$9)</f>
        <v/>
      </c>
      <c r="T100" s="5">
        <f>P100 + Q100</f>
        <v/>
      </c>
      <c r="U100">
        <f>IF(E100&gt;65, (1-((1+Parameters!$B$10)/(1+Parameters!$B$5))^(E100-65))/(((1+Parameters!$B$5)/(1+Parameters!$B$10))-1), 0)</f>
        <v/>
      </c>
      <c r="V100" s="5">
        <f>S100 * U100 * (1+Parameters!$B$5)^-(65-B100)</f>
        <v/>
      </c>
      <c r="W100" s="5">
        <f>IF(AND(E100&gt;=66, E100&lt;=69), 5*S100*(1+Parameters!$B$5)^-(E100-B100), 0)</f>
        <v/>
      </c>
      <c r="X100" s="5">
        <f>V100 + W100 + R100</f>
        <v/>
      </c>
      <c r="Y100" s="5">
        <f>IF(E100&gt;=65, M100/S100, "")</f>
        <v/>
      </c>
    </row>
    <row r="101">
      <c r="A101" t="n">
        <v>100</v>
      </c>
      <c r="B101" t="n">
        <v>18</v>
      </c>
      <c r="C101" s="5" t="n">
        <v>2260</v>
      </c>
      <c r="D101" t="n">
        <v>0.0259</v>
      </c>
      <c r="E101" t="n">
        <v>99</v>
      </c>
      <c r="F101" s="5" t="n">
        <v>22600</v>
      </c>
      <c r="G101">
        <f>MIN(65-B101, MAX(0, E101-B101))</f>
        <v/>
      </c>
      <c r="H101">
        <f>B101+G101</f>
        <v/>
      </c>
      <c r="I101" s="5">
        <f>F101*(1+D101)^G101</f>
        <v/>
      </c>
      <c r="J101">
        <f>(1+D101)/(1+Parameters!$B$5)</f>
        <v/>
      </c>
      <c r="K101" s="5">
        <f>IF(G101&gt;0, IF(ROUND(J101, 6)=1, G101 * C101 * (1+Parameters!$B$5)^-0.5, C101 * (1-J101^G101)/(1-J101) * (1+Parameters!$B$5)^-0.5), 0)</f>
        <v/>
      </c>
      <c r="L101" s="5">
        <f>K101*(1-Parameters!$B$4)</f>
        <v/>
      </c>
      <c r="M101" s="5">
        <f>L101*(1+Parameters!$B$5)^G101</f>
        <v/>
      </c>
      <c r="N101" s="5">
        <f>IF(E101&gt;=65, (65-B101)*I101/Parameters!$B$6, 0)</f>
        <v/>
      </c>
      <c r="O101">
        <f>IF(E101&gt;65, (1-(1+Parameters!$B$5)^-(E101-65))/Parameters!$B$5, 0)</f>
        <v/>
      </c>
      <c r="P101" s="5">
        <f>N101 * O101 * (1+Parameters!$B$5)^-(65-B101)</f>
        <v/>
      </c>
      <c r="Q101" s="5">
        <f>IF(AND(E101&gt;=66, E101&lt;=69), 5*N101*(1+Parameters!$B$5)^-(E101-B101), 0)</f>
        <v/>
      </c>
      <c r="R101" s="5">
        <f>IF(E101&lt;=65, L101, 0)</f>
        <v/>
      </c>
      <c r="S101" s="5">
        <f>N101 * (Parameters!$B$6 / Parameters!$B$9)</f>
        <v/>
      </c>
      <c r="T101" s="5">
        <f>P101 + Q101</f>
        <v/>
      </c>
      <c r="U101">
        <f>IF(E101&gt;65, (1-((1+Parameters!$B$10)/(1+Parameters!$B$5))^(E101-65))/(((1+Parameters!$B$5)/(1+Parameters!$B$10))-1), 0)</f>
        <v/>
      </c>
      <c r="V101" s="5">
        <f>S101 * U101 * (1+Parameters!$B$5)^-(65-B101)</f>
        <v/>
      </c>
      <c r="W101" s="5">
        <f>IF(AND(E101&gt;=66, E101&lt;=69), 5*S101*(1+Parameters!$B$5)^-(E101-B101), 0)</f>
        <v/>
      </c>
      <c r="X101" s="5">
        <f>V101 + W101 + R101</f>
        <v/>
      </c>
      <c r="Y101" s="5">
        <f>IF(E101&gt;=65, M101/S101, "")</f>
        <v/>
      </c>
    </row>
    <row r="102">
      <c r="A102" t="n">
        <v>101</v>
      </c>
      <c r="B102" t="n">
        <v>34</v>
      </c>
      <c r="C102" s="5" t="n">
        <v>5140</v>
      </c>
      <c r="D102" t="n">
        <v>0.0207</v>
      </c>
      <c r="E102" t="n">
        <v>94</v>
      </c>
      <c r="F102" s="5" t="n">
        <v>51400</v>
      </c>
      <c r="G102">
        <f>MIN(65-B102, MAX(0, E102-B102))</f>
        <v/>
      </c>
      <c r="H102">
        <f>B102+G102</f>
        <v/>
      </c>
      <c r="I102" s="5">
        <f>F102*(1+D102)^G102</f>
        <v/>
      </c>
      <c r="J102">
        <f>(1+D102)/(1+Parameters!$B$5)</f>
        <v/>
      </c>
      <c r="K102" s="5">
        <f>IF(G102&gt;0, IF(ROUND(J102, 6)=1, G102 * C102 * (1+Parameters!$B$5)^-0.5, C102 * (1-J102^G102)/(1-J102) * (1+Parameters!$B$5)^-0.5), 0)</f>
        <v/>
      </c>
      <c r="L102" s="5">
        <f>K102*(1-Parameters!$B$4)</f>
        <v/>
      </c>
      <c r="M102" s="5">
        <f>L102*(1+Parameters!$B$5)^G102</f>
        <v/>
      </c>
      <c r="N102" s="5">
        <f>IF(E102&gt;=65, (65-B102)*I102/Parameters!$B$6, 0)</f>
        <v/>
      </c>
      <c r="O102">
        <f>IF(E102&gt;65, (1-(1+Parameters!$B$5)^-(E102-65))/Parameters!$B$5, 0)</f>
        <v/>
      </c>
      <c r="P102" s="5">
        <f>N102 * O102 * (1+Parameters!$B$5)^-(65-B102)</f>
        <v/>
      </c>
      <c r="Q102" s="5">
        <f>IF(AND(E102&gt;=66, E102&lt;=69), 5*N102*(1+Parameters!$B$5)^-(E102-B102), 0)</f>
        <v/>
      </c>
      <c r="R102" s="5">
        <f>IF(E102&lt;=65, L102, 0)</f>
        <v/>
      </c>
      <c r="S102" s="5">
        <f>N102 * (Parameters!$B$6 / Parameters!$B$9)</f>
        <v/>
      </c>
      <c r="T102" s="5">
        <f>P102 + Q102</f>
        <v/>
      </c>
      <c r="U102">
        <f>IF(E102&gt;65, (1-((1+Parameters!$B$10)/(1+Parameters!$B$5))^(E102-65))/(((1+Parameters!$B$5)/(1+Parameters!$B$10))-1), 0)</f>
        <v/>
      </c>
      <c r="V102" s="5">
        <f>S102 * U102 * (1+Parameters!$B$5)^-(65-B102)</f>
        <v/>
      </c>
      <c r="W102" s="5">
        <f>IF(AND(E102&gt;=66, E102&lt;=69), 5*S102*(1+Parameters!$B$5)^-(E102-B102), 0)</f>
        <v/>
      </c>
      <c r="X102" s="5">
        <f>V102 + W102 + R102</f>
        <v/>
      </c>
      <c r="Y102" s="5">
        <f>IF(E102&gt;=65, M102/S102, "")</f>
        <v/>
      </c>
    </row>
    <row r="103">
      <c r="A103" t="n">
        <v>102</v>
      </c>
      <c r="B103" t="n">
        <v>18</v>
      </c>
      <c r="C103" s="5" t="n">
        <v>1920</v>
      </c>
      <c r="D103" t="n">
        <v>0.0223</v>
      </c>
      <c r="E103" t="n">
        <v>92</v>
      </c>
      <c r="F103" s="5" t="n">
        <v>19200</v>
      </c>
      <c r="G103">
        <f>MIN(65-B103, MAX(0, E103-B103))</f>
        <v/>
      </c>
      <c r="H103">
        <f>B103+G103</f>
        <v/>
      </c>
      <c r="I103" s="5">
        <f>F103*(1+D103)^G103</f>
        <v/>
      </c>
      <c r="J103">
        <f>(1+D103)/(1+Parameters!$B$5)</f>
        <v/>
      </c>
      <c r="K103" s="5">
        <f>IF(G103&gt;0, IF(ROUND(J103, 6)=1, G103 * C103 * (1+Parameters!$B$5)^-0.5, C103 * (1-J103^G103)/(1-J103) * (1+Parameters!$B$5)^-0.5), 0)</f>
        <v/>
      </c>
      <c r="L103" s="5">
        <f>K103*(1-Parameters!$B$4)</f>
        <v/>
      </c>
      <c r="M103" s="5">
        <f>L103*(1+Parameters!$B$5)^G103</f>
        <v/>
      </c>
      <c r="N103" s="5">
        <f>IF(E103&gt;=65, (65-B103)*I103/Parameters!$B$6, 0)</f>
        <v/>
      </c>
      <c r="O103">
        <f>IF(E103&gt;65, (1-(1+Parameters!$B$5)^-(E103-65))/Parameters!$B$5, 0)</f>
        <v/>
      </c>
      <c r="P103" s="5">
        <f>N103 * O103 * (1+Parameters!$B$5)^-(65-B103)</f>
        <v/>
      </c>
      <c r="Q103" s="5">
        <f>IF(AND(E103&gt;=66, E103&lt;=69), 5*N103*(1+Parameters!$B$5)^-(E103-B103), 0)</f>
        <v/>
      </c>
      <c r="R103" s="5">
        <f>IF(E103&lt;=65, L103, 0)</f>
        <v/>
      </c>
      <c r="S103" s="5">
        <f>N103 * (Parameters!$B$6 / Parameters!$B$9)</f>
        <v/>
      </c>
      <c r="T103" s="5">
        <f>P103 + Q103</f>
        <v/>
      </c>
      <c r="U103">
        <f>IF(E103&gt;65, (1-((1+Parameters!$B$10)/(1+Parameters!$B$5))^(E103-65))/(((1+Parameters!$B$5)/(1+Parameters!$B$10))-1), 0)</f>
        <v/>
      </c>
      <c r="V103" s="5">
        <f>S103 * U103 * (1+Parameters!$B$5)^-(65-B103)</f>
        <v/>
      </c>
      <c r="W103" s="5">
        <f>IF(AND(E103&gt;=66, E103&lt;=69), 5*S103*(1+Parameters!$B$5)^-(E103-B103), 0)</f>
        <v/>
      </c>
      <c r="X103" s="5">
        <f>V103 + W103 + R103</f>
        <v/>
      </c>
      <c r="Y103" s="5">
        <f>IF(E103&gt;=65, M103/S103, "")</f>
        <v/>
      </c>
    </row>
    <row r="104">
      <c r="A104" t="n">
        <v>103</v>
      </c>
      <c r="B104" t="n">
        <v>56</v>
      </c>
      <c r="C104" s="5" t="n">
        <v>12290</v>
      </c>
      <c r="D104" t="n">
        <v>0.0356</v>
      </c>
      <c r="E104" t="n">
        <v>75</v>
      </c>
      <c r="F104" s="5" t="n">
        <v>122900</v>
      </c>
      <c r="G104">
        <f>MIN(65-B104, MAX(0, E104-B104))</f>
        <v/>
      </c>
      <c r="H104">
        <f>B104+G104</f>
        <v/>
      </c>
      <c r="I104" s="5">
        <f>F104*(1+D104)^G104</f>
        <v/>
      </c>
      <c r="J104">
        <f>(1+D104)/(1+Parameters!$B$5)</f>
        <v/>
      </c>
      <c r="K104" s="5">
        <f>IF(G104&gt;0, IF(ROUND(J104, 6)=1, G104 * C104 * (1+Parameters!$B$5)^-0.5, C104 * (1-J104^G104)/(1-J104) * (1+Parameters!$B$5)^-0.5), 0)</f>
        <v/>
      </c>
      <c r="L104" s="5">
        <f>K104*(1-Parameters!$B$4)</f>
        <v/>
      </c>
      <c r="M104" s="5">
        <f>L104*(1+Parameters!$B$5)^G104</f>
        <v/>
      </c>
      <c r="N104" s="5">
        <f>IF(E104&gt;=65, (65-B104)*I104/Parameters!$B$6, 0)</f>
        <v/>
      </c>
      <c r="O104">
        <f>IF(E104&gt;65, (1-(1+Parameters!$B$5)^-(E104-65))/Parameters!$B$5, 0)</f>
        <v/>
      </c>
      <c r="P104" s="5">
        <f>N104 * O104 * (1+Parameters!$B$5)^-(65-B104)</f>
        <v/>
      </c>
      <c r="Q104" s="5">
        <f>IF(AND(E104&gt;=66, E104&lt;=69), 5*N104*(1+Parameters!$B$5)^-(E104-B104), 0)</f>
        <v/>
      </c>
      <c r="R104" s="5">
        <f>IF(E104&lt;=65, L104, 0)</f>
        <v/>
      </c>
      <c r="S104" s="5">
        <f>N104 * (Parameters!$B$6 / Parameters!$B$9)</f>
        <v/>
      </c>
      <c r="T104" s="5">
        <f>P104 + Q104</f>
        <v/>
      </c>
      <c r="U104">
        <f>IF(E104&gt;65, (1-((1+Parameters!$B$10)/(1+Parameters!$B$5))^(E104-65))/(((1+Parameters!$B$5)/(1+Parameters!$B$10))-1), 0)</f>
        <v/>
      </c>
      <c r="V104" s="5">
        <f>S104 * U104 * (1+Parameters!$B$5)^-(65-B104)</f>
        <v/>
      </c>
      <c r="W104" s="5">
        <f>IF(AND(E104&gt;=66, E104&lt;=69), 5*S104*(1+Parameters!$B$5)^-(E104-B104), 0)</f>
        <v/>
      </c>
      <c r="X104" s="5">
        <f>V104 + W104 + R104</f>
        <v/>
      </c>
      <c r="Y104" s="5">
        <f>IF(E104&gt;=65, M104/S104, "")</f>
        <v/>
      </c>
    </row>
    <row r="105">
      <c r="A105" t="n">
        <v>104</v>
      </c>
      <c r="B105" t="n">
        <v>31</v>
      </c>
      <c r="C105" s="5" t="n">
        <v>2400</v>
      </c>
      <c r="D105" t="n">
        <v>0.0499</v>
      </c>
      <c r="E105" t="n">
        <v>77</v>
      </c>
      <c r="F105" s="5" t="n">
        <v>24000</v>
      </c>
      <c r="G105">
        <f>MIN(65-B105, MAX(0, E105-B105))</f>
        <v/>
      </c>
      <c r="H105">
        <f>B105+G105</f>
        <v/>
      </c>
      <c r="I105" s="5">
        <f>F105*(1+D105)^G105</f>
        <v/>
      </c>
      <c r="J105">
        <f>(1+D105)/(1+Parameters!$B$5)</f>
        <v/>
      </c>
      <c r="K105" s="5">
        <f>IF(G105&gt;0, IF(ROUND(J105, 6)=1, G105 * C105 * (1+Parameters!$B$5)^-0.5, C105 * (1-J105^G105)/(1-J105) * (1+Parameters!$B$5)^-0.5), 0)</f>
        <v/>
      </c>
      <c r="L105" s="5">
        <f>K105*(1-Parameters!$B$4)</f>
        <v/>
      </c>
      <c r="M105" s="5">
        <f>L105*(1+Parameters!$B$5)^G105</f>
        <v/>
      </c>
      <c r="N105" s="5">
        <f>IF(E105&gt;=65, (65-B105)*I105/Parameters!$B$6, 0)</f>
        <v/>
      </c>
      <c r="O105">
        <f>IF(E105&gt;65, (1-(1+Parameters!$B$5)^-(E105-65))/Parameters!$B$5, 0)</f>
        <v/>
      </c>
      <c r="P105" s="5">
        <f>N105 * O105 * (1+Parameters!$B$5)^-(65-B105)</f>
        <v/>
      </c>
      <c r="Q105" s="5">
        <f>IF(AND(E105&gt;=66, E105&lt;=69), 5*N105*(1+Parameters!$B$5)^-(E105-B105), 0)</f>
        <v/>
      </c>
      <c r="R105" s="5">
        <f>IF(E105&lt;=65, L105, 0)</f>
        <v/>
      </c>
      <c r="S105" s="5">
        <f>N105 * (Parameters!$B$6 / Parameters!$B$9)</f>
        <v/>
      </c>
      <c r="T105" s="5">
        <f>P105 + Q105</f>
        <v/>
      </c>
      <c r="U105">
        <f>IF(E105&gt;65, (1-((1+Parameters!$B$10)/(1+Parameters!$B$5))^(E105-65))/(((1+Parameters!$B$5)/(1+Parameters!$B$10))-1), 0)</f>
        <v/>
      </c>
      <c r="V105" s="5">
        <f>S105 * U105 * (1+Parameters!$B$5)^-(65-B105)</f>
        <v/>
      </c>
      <c r="W105" s="5">
        <f>IF(AND(E105&gt;=66, E105&lt;=69), 5*S105*(1+Parameters!$B$5)^-(E105-B105), 0)</f>
        <v/>
      </c>
      <c r="X105" s="5">
        <f>V105 + W105 + R105</f>
        <v/>
      </c>
      <c r="Y105" s="5">
        <f>IF(E105&gt;=65, M105/S105, "")</f>
        <v/>
      </c>
    </row>
    <row r="106">
      <c r="A106" t="n">
        <v>105</v>
      </c>
      <c r="B106" t="n">
        <v>25</v>
      </c>
      <c r="C106" s="5" t="n">
        <v>2690</v>
      </c>
      <c r="D106" t="n">
        <v>0.0536</v>
      </c>
      <c r="E106" t="n">
        <v>78</v>
      </c>
      <c r="F106" s="5" t="n">
        <v>26900</v>
      </c>
      <c r="G106">
        <f>MIN(65-B106, MAX(0, E106-B106))</f>
        <v/>
      </c>
      <c r="H106">
        <f>B106+G106</f>
        <v/>
      </c>
      <c r="I106" s="5">
        <f>F106*(1+D106)^G106</f>
        <v/>
      </c>
      <c r="J106">
        <f>(1+D106)/(1+Parameters!$B$5)</f>
        <v/>
      </c>
      <c r="K106" s="5">
        <f>IF(G106&gt;0, IF(ROUND(J106, 6)=1, G106 * C106 * (1+Parameters!$B$5)^-0.5, C106 * (1-J106^G106)/(1-J106) * (1+Parameters!$B$5)^-0.5), 0)</f>
        <v/>
      </c>
      <c r="L106" s="5">
        <f>K106*(1-Parameters!$B$4)</f>
        <v/>
      </c>
      <c r="M106" s="5">
        <f>L106*(1+Parameters!$B$5)^G106</f>
        <v/>
      </c>
      <c r="N106" s="5">
        <f>IF(E106&gt;=65, (65-B106)*I106/Parameters!$B$6, 0)</f>
        <v/>
      </c>
      <c r="O106">
        <f>IF(E106&gt;65, (1-(1+Parameters!$B$5)^-(E106-65))/Parameters!$B$5, 0)</f>
        <v/>
      </c>
      <c r="P106" s="5">
        <f>N106 * O106 * (1+Parameters!$B$5)^-(65-B106)</f>
        <v/>
      </c>
      <c r="Q106" s="5">
        <f>IF(AND(E106&gt;=66, E106&lt;=69), 5*N106*(1+Parameters!$B$5)^-(E106-B106), 0)</f>
        <v/>
      </c>
      <c r="R106" s="5">
        <f>IF(E106&lt;=65, L106, 0)</f>
        <v/>
      </c>
      <c r="S106" s="5">
        <f>N106 * (Parameters!$B$6 / Parameters!$B$9)</f>
        <v/>
      </c>
      <c r="T106" s="5">
        <f>P106 + Q106</f>
        <v/>
      </c>
      <c r="U106">
        <f>IF(E106&gt;65, (1-((1+Parameters!$B$10)/(1+Parameters!$B$5))^(E106-65))/(((1+Parameters!$B$5)/(1+Parameters!$B$10))-1), 0)</f>
        <v/>
      </c>
      <c r="V106" s="5">
        <f>S106 * U106 * (1+Parameters!$B$5)^-(65-B106)</f>
        <v/>
      </c>
      <c r="W106" s="5">
        <f>IF(AND(E106&gt;=66, E106&lt;=69), 5*S106*(1+Parameters!$B$5)^-(E106-B106), 0)</f>
        <v/>
      </c>
      <c r="X106" s="5">
        <f>V106 + W106 + R106</f>
        <v/>
      </c>
      <c r="Y106" s="5">
        <f>IF(E106&gt;=65, M106/S106, "")</f>
        <v/>
      </c>
    </row>
    <row r="107">
      <c r="A107" t="n">
        <v>106</v>
      </c>
      <c r="B107" t="n">
        <v>44</v>
      </c>
      <c r="C107" s="5" t="n">
        <v>9670</v>
      </c>
      <c r="D107" t="n">
        <v>0.0123</v>
      </c>
      <c r="E107" t="n">
        <v>89</v>
      </c>
      <c r="F107" s="5" t="n">
        <v>96700</v>
      </c>
      <c r="G107">
        <f>MIN(65-B107, MAX(0, E107-B107))</f>
        <v/>
      </c>
      <c r="H107">
        <f>B107+G107</f>
        <v/>
      </c>
      <c r="I107" s="5">
        <f>F107*(1+D107)^G107</f>
        <v/>
      </c>
      <c r="J107">
        <f>(1+D107)/(1+Parameters!$B$5)</f>
        <v/>
      </c>
      <c r="K107" s="5">
        <f>IF(G107&gt;0, IF(ROUND(J107, 6)=1, G107 * C107 * (1+Parameters!$B$5)^-0.5, C107 * (1-J107^G107)/(1-J107) * (1+Parameters!$B$5)^-0.5), 0)</f>
        <v/>
      </c>
      <c r="L107" s="5">
        <f>K107*(1-Parameters!$B$4)</f>
        <v/>
      </c>
      <c r="M107" s="5">
        <f>L107*(1+Parameters!$B$5)^G107</f>
        <v/>
      </c>
      <c r="N107" s="5">
        <f>IF(E107&gt;=65, (65-B107)*I107/Parameters!$B$6, 0)</f>
        <v/>
      </c>
      <c r="O107">
        <f>IF(E107&gt;65, (1-(1+Parameters!$B$5)^-(E107-65))/Parameters!$B$5, 0)</f>
        <v/>
      </c>
      <c r="P107" s="5">
        <f>N107 * O107 * (1+Parameters!$B$5)^-(65-B107)</f>
        <v/>
      </c>
      <c r="Q107" s="5">
        <f>IF(AND(E107&gt;=66, E107&lt;=69), 5*N107*(1+Parameters!$B$5)^-(E107-B107), 0)</f>
        <v/>
      </c>
      <c r="R107" s="5">
        <f>IF(E107&lt;=65, L107, 0)</f>
        <v/>
      </c>
      <c r="S107" s="5">
        <f>N107 * (Parameters!$B$6 / Parameters!$B$9)</f>
        <v/>
      </c>
      <c r="T107" s="5">
        <f>P107 + Q107</f>
        <v/>
      </c>
      <c r="U107">
        <f>IF(E107&gt;65, (1-((1+Parameters!$B$10)/(1+Parameters!$B$5))^(E107-65))/(((1+Parameters!$B$5)/(1+Parameters!$B$10))-1), 0)</f>
        <v/>
      </c>
      <c r="V107" s="5">
        <f>S107 * U107 * (1+Parameters!$B$5)^-(65-B107)</f>
        <v/>
      </c>
      <c r="W107" s="5">
        <f>IF(AND(E107&gt;=66, E107&lt;=69), 5*S107*(1+Parameters!$B$5)^-(E107-B107), 0)</f>
        <v/>
      </c>
      <c r="X107" s="5">
        <f>V107 + W107 + R107</f>
        <v/>
      </c>
      <c r="Y107" s="5">
        <f>IF(E107&gt;=65, M107/S107, "")</f>
        <v/>
      </c>
    </row>
    <row r="108">
      <c r="A108" t="n">
        <v>107</v>
      </c>
      <c r="B108" t="n">
        <v>42</v>
      </c>
      <c r="C108" s="5" t="n">
        <v>1440</v>
      </c>
      <c r="D108" t="n">
        <v>0.0178</v>
      </c>
      <c r="E108" t="n">
        <v>89</v>
      </c>
      <c r="F108" s="5" t="n">
        <v>14400</v>
      </c>
      <c r="G108">
        <f>MIN(65-B108, MAX(0, E108-B108))</f>
        <v/>
      </c>
      <c r="H108">
        <f>B108+G108</f>
        <v/>
      </c>
      <c r="I108" s="5">
        <f>F108*(1+D108)^G108</f>
        <v/>
      </c>
      <c r="J108">
        <f>(1+D108)/(1+Parameters!$B$5)</f>
        <v/>
      </c>
      <c r="K108" s="5">
        <f>IF(G108&gt;0, IF(ROUND(J108, 6)=1, G108 * C108 * (1+Parameters!$B$5)^-0.5, C108 * (1-J108^G108)/(1-J108) * (1+Parameters!$B$5)^-0.5), 0)</f>
        <v/>
      </c>
      <c r="L108" s="5">
        <f>K108*(1-Parameters!$B$4)</f>
        <v/>
      </c>
      <c r="M108" s="5">
        <f>L108*(1+Parameters!$B$5)^G108</f>
        <v/>
      </c>
      <c r="N108" s="5">
        <f>IF(E108&gt;=65, (65-B108)*I108/Parameters!$B$6, 0)</f>
        <v/>
      </c>
      <c r="O108">
        <f>IF(E108&gt;65, (1-(1+Parameters!$B$5)^-(E108-65))/Parameters!$B$5, 0)</f>
        <v/>
      </c>
      <c r="P108" s="5">
        <f>N108 * O108 * (1+Parameters!$B$5)^-(65-B108)</f>
        <v/>
      </c>
      <c r="Q108" s="5">
        <f>IF(AND(E108&gt;=66, E108&lt;=69), 5*N108*(1+Parameters!$B$5)^-(E108-B108), 0)</f>
        <v/>
      </c>
      <c r="R108" s="5">
        <f>IF(E108&lt;=65, L108, 0)</f>
        <v/>
      </c>
      <c r="S108" s="5">
        <f>N108 * (Parameters!$B$6 / Parameters!$B$9)</f>
        <v/>
      </c>
      <c r="T108" s="5">
        <f>P108 + Q108</f>
        <v/>
      </c>
      <c r="U108">
        <f>IF(E108&gt;65, (1-((1+Parameters!$B$10)/(1+Parameters!$B$5))^(E108-65))/(((1+Parameters!$B$5)/(1+Parameters!$B$10))-1), 0)</f>
        <v/>
      </c>
      <c r="V108" s="5">
        <f>S108 * U108 * (1+Parameters!$B$5)^-(65-B108)</f>
        <v/>
      </c>
      <c r="W108" s="5">
        <f>IF(AND(E108&gt;=66, E108&lt;=69), 5*S108*(1+Parameters!$B$5)^-(E108-B108), 0)</f>
        <v/>
      </c>
      <c r="X108" s="5">
        <f>V108 + W108 + R108</f>
        <v/>
      </c>
      <c r="Y108" s="5">
        <f>IF(E108&gt;=65, M108/S108, "")</f>
        <v/>
      </c>
    </row>
    <row r="109">
      <c r="A109" t="n">
        <v>108</v>
      </c>
      <c r="B109" t="n">
        <v>54</v>
      </c>
      <c r="C109" s="5" t="n">
        <v>1310</v>
      </c>
      <c r="D109" t="n">
        <v>0.0258</v>
      </c>
      <c r="E109" t="n">
        <v>87</v>
      </c>
      <c r="F109" s="5" t="n">
        <v>13100</v>
      </c>
      <c r="G109">
        <f>MIN(65-B109, MAX(0, E109-B109))</f>
        <v/>
      </c>
      <c r="H109">
        <f>B109+G109</f>
        <v/>
      </c>
      <c r="I109" s="5">
        <f>F109*(1+D109)^G109</f>
        <v/>
      </c>
      <c r="J109">
        <f>(1+D109)/(1+Parameters!$B$5)</f>
        <v/>
      </c>
      <c r="K109" s="5">
        <f>IF(G109&gt;0, IF(ROUND(J109, 6)=1, G109 * C109 * (1+Parameters!$B$5)^-0.5, C109 * (1-J109^G109)/(1-J109) * (1+Parameters!$B$5)^-0.5), 0)</f>
        <v/>
      </c>
      <c r="L109" s="5">
        <f>K109*(1-Parameters!$B$4)</f>
        <v/>
      </c>
      <c r="M109" s="5">
        <f>L109*(1+Parameters!$B$5)^G109</f>
        <v/>
      </c>
      <c r="N109" s="5">
        <f>IF(E109&gt;=65, (65-B109)*I109/Parameters!$B$6, 0)</f>
        <v/>
      </c>
      <c r="O109">
        <f>IF(E109&gt;65, (1-(1+Parameters!$B$5)^-(E109-65))/Parameters!$B$5, 0)</f>
        <v/>
      </c>
      <c r="P109" s="5">
        <f>N109 * O109 * (1+Parameters!$B$5)^-(65-B109)</f>
        <v/>
      </c>
      <c r="Q109" s="5">
        <f>IF(AND(E109&gt;=66, E109&lt;=69), 5*N109*(1+Parameters!$B$5)^-(E109-B109), 0)</f>
        <v/>
      </c>
      <c r="R109" s="5">
        <f>IF(E109&lt;=65, L109, 0)</f>
        <v/>
      </c>
      <c r="S109" s="5">
        <f>N109 * (Parameters!$B$6 / Parameters!$B$9)</f>
        <v/>
      </c>
      <c r="T109" s="5">
        <f>P109 + Q109</f>
        <v/>
      </c>
      <c r="U109">
        <f>IF(E109&gt;65, (1-((1+Parameters!$B$10)/(1+Parameters!$B$5))^(E109-65))/(((1+Parameters!$B$5)/(1+Parameters!$B$10))-1), 0)</f>
        <v/>
      </c>
      <c r="V109" s="5">
        <f>S109 * U109 * (1+Parameters!$B$5)^-(65-B109)</f>
        <v/>
      </c>
      <c r="W109" s="5">
        <f>IF(AND(E109&gt;=66, E109&lt;=69), 5*S109*(1+Parameters!$B$5)^-(E109-B109), 0)</f>
        <v/>
      </c>
      <c r="X109" s="5">
        <f>V109 + W109 + R109</f>
        <v/>
      </c>
      <c r="Y109" s="5">
        <f>IF(E109&gt;=65, M109/S109, "")</f>
        <v/>
      </c>
    </row>
    <row r="110">
      <c r="A110" t="n">
        <v>109</v>
      </c>
      <c r="B110" t="n">
        <v>59</v>
      </c>
      <c r="C110" s="5" t="n">
        <v>14000</v>
      </c>
      <c r="D110" t="n">
        <v>0.0106</v>
      </c>
      <c r="E110" t="n">
        <v>77</v>
      </c>
      <c r="F110" s="5" t="n">
        <v>140000</v>
      </c>
      <c r="G110">
        <f>MIN(65-B110, MAX(0, E110-B110))</f>
        <v/>
      </c>
      <c r="H110">
        <f>B110+G110</f>
        <v/>
      </c>
      <c r="I110" s="5">
        <f>F110*(1+D110)^G110</f>
        <v/>
      </c>
      <c r="J110">
        <f>(1+D110)/(1+Parameters!$B$5)</f>
        <v/>
      </c>
      <c r="K110" s="5">
        <f>IF(G110&gt;0, IF(ROUND(J110, 6)=1, G110 * C110 * (1+Parameters!$B$5)^-0.5, C110 * (1-J110^G110)/(1-J110) * (1+Parameters!$B$5)^-0.5), 0)</f>
        <v/>
      </c>
      <c r="L110" s="5">
        <f>K110*(1-Parameters!$B$4)</f>
        <v/>
      </c>
      <c r="M110" s="5">
        <f>L110*(1+Parameters!$B$5)^G110</f>
        <v/>
      </c>
      <c r="N110" s="5">
        <f>IF(E110&gt;=65, (65-B110)*I110/Parameters!$B$6, 0)</f>
        <v/>
      </c>
      <c r="O110">
        <f>IF(E110&gt;65, (1-(1+Parameters!$B$5)^-(E110-65))/Parameters!$B$5, 0)</f>
        <v/>
      </c>
      <c r="P110" s="5">
        <f>N110 * O110 * (1+Parameters!$B$5)^-(65-B110)</f>
        <v/>
      </c>
      <c r="Q110" s="5">
        <f>IF(AND(E110&gt;=66, E110&lt;=69), 5*N110*(1+Parameters!$B$5)^-(E110-B110), 0)</f>
        <v/>
      </c>
      <c r="R110" s="5">
        <f>IF(E110&lt;=65, L110, 0)</f>
        <v/>
      </c>
      <c r="S110" s="5">
        <f>N110 * (Parameters!$B$6 / Parameters!$B$9)</f>
        <v/>
      </c>
      <c r="T110" s="5">
        <f>P110 + Q110</f>
        <v/>
      </c>
      <c r="U110">
        <f>IF(E110&gt;65, (1-((1+Parameters!$B$10)/(1+Parameters!$B$5))^(E110-65))/(((1+Parameters!$B$5)/(1+Parameters!$B$10))-1), 0)</f>
        <v/>
      </c>
      <c r="V110" s="5">
        <f>S110 * U110 * (1+Parameters!$B$5)^-(65-B110)</f>
        <v/>
      </c>
      <c r="W110" s="5">
        <f>IF(AND(E110&gt;=66, E110&lt;=69), 5*S110*(1+Parameters!$B$5)^-(E110-B110), 0)</f>
        <v/>
      </c>
      <c r="X110" s="5">
        <f>V110 + W110 + R110</f>
        <v/>
      </c>
      <c r="Y110" s="5">
        <f>IF(E110&gt;=65, M110/S110, "")</f>
        <v/>
      </c>
    </row>
    <row r="111">
      <c r="A111" t="n">
        <v>110</v>
      </c>
      <c r="B111" t="n">
        <v>29</v>
      </c>
      <c r="C111" s="5" t="n">
        <v>10200</v>
      </c>
      <c r="D111" t="n">
        <v>0.0295</v>
      </c>
      <c r="E111" t="n">
        <v>89</v>
      </c>
      <c r="F111" s="5" t="n">
        <v>102000</v>
      </c>
      <c r="G111">
        <f>MIN(65-B111, MAX(0, E111-B111))</f>
        <v/>
      </c>
      <c r="H111">
        <f>B111+G111</f>
        <v/>
      </c>
      <c r="I111" s="5">
        <f>F111*(1+D111)^G111</f>
        <v/>
      </c>
      <c r="J111">
        <f>(1+D111)/(1+Parameters!$B$5)</f>
        <v/>
      </c>
      <c r="K111" s="5">
        <f>IF(G111&gt;0, IF(ROUND(J111, 6)=1, G111 * C111 * (1+Parameters!$B$5)^-0.5, C111 * (1-J111^G111)/(1-J111) * (1+Parameters!$B$5)^-0.5), 0)</f>
        <v/>
      </c>
      <c r="L111" s="5">
        <f>K111*(1-Parameters!$B$4)</f>
        <v/>
      </c>
      <c r="M111" s="5">
        <f>L111*(1+Parameters!$B$5)^G111</f>
        <v/>
      </c>
      <c r="N111" s="5">
        <f>IF(E111&gt;=65, (65-B111)*I111/Parameters!$B$6, 0)</f>
        <v/>
      </c>
      <c r="O111">
        <f>IF(E111&gt;65, (1-(1+Parameters!$B$5)^-(E111-65))/Parameters!$B$5, 0)</f>
        <v/>
      </c>
      <c r="P111" s="5">
        <f>N111 * O111 * (1+Parameters!$B$5)^-(65-B111)</f>
        <v/>
      </c>
      <c r="Q111" s="5">
        <f>IF(AND(E111&gt;=66, E111&lt;=69), 5*N111*(1+Parameters!$B$5)^-(E111-B111), 0)</f>
        <v/>
      </c>
      <c r="R111" s="5">
        <f>IF(E111&lt;=65, L111, 0)</f>
        <v/>
      </c>
      <c r="S111" s="5">
        <f>N111 * (Parameters!$B$6 / Parameters!$B$9)</f>
        <v/>
      </c>
      <c r="T111" s="5">
        <f>P111 + Q111</f>
        <v/>
      </c>
      <c r="U111">
        <f>IF(E111&gt;65, (1-((1+Parameters!$B$10)/(1+Parameters!$B$5))^(E111-65))/(((1+Parameters!$B$5)/(1+Parameters!$B$10))-1), 0)</f>
        <v/>
      </c>
      <c r="V111" s="5">
        <f>S111 * U111 * (1+Parameters!$B$5)^-(65-B111)</f>
        <v/>
      </c>
      <c r="W111" s="5">
        <f>IF(AND(E111&gt;=66, E111&lt;=69), 5*S111*(1+Parameters!$B$5)^-(E111-B111), 0)</f>
        <v/>
      </c>
      <c r="X111" s="5">
        <f>V111 + W111 + R111</f>
        <v/>
      </c>
      <c r="Y111" s="5">
        <f>IF(E111&gt;=65, M111/S111, "")</f>
        <v/>
      </c>
    </row>
    <row r="112">
      <c r="A112" t="n">
        <v>111</v>
      </c>
      <c r="B112" t="n">
        <v>27</v>
      </c>
      <c r="C112" s="5" t="n">
        <v>1600</v>
      </c>
      <c r="D112" t="n">
        <v>0.0496</v>
      </c>
      <c r="E112" t="n">
        <v>97</v>
      </c>
      <c r="F112" s="5" t="n">
        <v>16000</v>
      </c>
      <c r="G112">
        <f>MIN(65-B112, MAX(0, E112-B112))</f>
        <v/>
      </c>
      <c r="H112">
        <f>B112+G112</f>
        <v/>
      </c>
      <c r="I112" s="5">
        <f>F112*(1+D112)^G112</f>
        <v/>
      </c>
      <c r="J112">
        <f>(1+D112)/(1+Parameters!$B$5)</f>
        <v/>
      </c>
      <c r="K112" s="5">
        <f>IF(G112&gt;0, IF(ROUND(J112, 6)=1, G112 * C112 * (1+Parameters!$B$5)^-0.5, C112 * (1-J112^G112)/(1-J112) * (1+Parameters!$B$5)^-0.5), 0)</f>
        <v/>
      </c>
      <c r="L112" s="5">
        <f>K112*(1-Parameters!$B$4)</f>
        <v/>
      </c>
      <c r="M112" s="5">
        <f>L112*(1+Parameters!$B$5)^G112</f>
        <v/>
      </c>
      <c r="N112" s="5">
        <f>IF(E112&gt;=65, (65-B112)*I112/Parameters!$B$6, 0)</f>
        <v/>
      </c>
      <c r="O112">
        <f>IF(E112&gt;65, (1-(1+Parameters!$B$5)^-(E112-65))/Parameters!$B$5, 0)</f>
        <v/>
      </c>
      <c r="P112" s="5">
        <f>N112 * O112 * (1+Parameters!$B$5)^-(65-B112)</f>
        <v/>
      </c>
      <c r="Q112" s="5">
        <f>IF(AND(E112&gt;=66, E112&lt;=69), 5*N112*(1+Parameters!$B$5)^-(E112-B112), 0)</f>
        <v/>
      </c>
      <c r="R112" s="5">
        <f>IF(E112&lt;=65, L112, 0)</f>
        <v/>
      </c>
      <c r="S112" s="5">
        <f>N112 * (Parameters!$B$6 / Parameters!$B$9)</f>
        <v/>
      </c>
      <c r="T112" s="5">
        <f>P112 + Q112</f>
        <v/>
      </c>
      <c r="U112">
        <f>IF(E112&gt;65, (1-((1+Parameters!$B$10)/(1+Parameters!$B$5))^(E112-65))/(((1+Parameters!$B$5)/(1+Parameters!$B$10))-1), 0)</f>
        <v/>
      </c>
      <c r="V112" s="5">
        <f>S112 * U112 * (1+Parameters!$B$5)^-(65-B112)</f>
        <v/>
      </c>
      <c r="W112" s="5">
        <f>IF(AND(E112&gt;=66, E112&lt;=69), 5*S112*(1+Parameters!$B$5)^-(E112-B112), 0)</f>
        <v/>
      </c>
      <c r="X112" s="5">
        <f>V112 + W112 + R112</f>
        <v/>
      </c>
      <c r="Y112" s="5">
        <f>IF(E112&gt;=65, M112/S112, "")</f>
        <v/>
      </c>
    </row>
    <row r="113">
      <c r="A113" t="n">
        <v>112</v>
      </c>
      <c r="B113" t="n">
        <v>43</v>
      </c>
      <c r="C113" s="5" t="n">
        <v>5420</v>
      </c>
      <c r="D113" t="n">
        <v>0.0429</v>
      </c>
      <c r="E113" t="n">
        <v>74</v>
      </c>
      <c r="F113" s="5" t="n">
        <v>54200</v>
      </c>
      <c r="G113">
        <f>MIN(65-B113, MAX(0, E113-B113))</f>
        <v/>
      </c>
      <c r="H113">
        <f>B113+G113</f>
        <v/>
      </c>
      <c r="I113" s="5">
        <f>F113*(1+D113)^G113</f>
        <v/>
      </c>
      <c r="J113">
        <f>(1+D113)/(1+Parameters!$B$5)</f>
        <v/>
      </c>
      <c r="K113" s="5">
        <f>IF(G113&gt;0, IF(ROUND(J113, 6)=1, G113 * C113 * (1+Parameters!$B$5)^-0.5, C113 * (1-J113^G113)/(1-J113) * (1+Parameters!$B$5)^-0.5), 0)</f>
        <v/>
      </c>
      <c r="L113" s="5">
        <f>K113*(1-Parameters!$B$4)</f>
        <v/>
      </c>
      <c r="M113" s="5">
        <f>L113*(1+Parameters!$B$5)^G113</f>
        <v/>
      </c>
      <c r="N113" s="5">
        <f>IF(E113&gt;=65, (65-B113)*I113/Parameters!$B$6, 0)</f>
        <v/>
      </c>
      <c r="O113">
        <f>IF(E113&gt;65, (1-(1+Parameters!$B$5)^-(E113-65))/Parameters!$B$5, 0)</f>
        <v/>
      </c>
      <c r="P113" s="5">
        <f>N113 * O113 * (1+Parameters!$B$5)^-(65-B113)</f>
        <v/>
      </c>
      <c r="Q113" s="5">
        <f>IF(AND(E113&gt;=66, E113&lt;=69), 5*N113*(1+Parameters!$B$5)^-(E113-B113), 0)</f>
        <v/>
      </c>
      <c r="R113" s="5">
        <f>IF(E113&lt;=65, L113, 0)</f>
        <v/>
      </c>
      <c r="S113" s="5">
        <f>N113 * (Parameters!$B$6 / Parameters!$B$9)</f>
        <v/>
      </c>
      <c r="T113" s="5">
        <f>P113 + Q113</f>
        <v/>
      </c>
      <c r="U113">
        <f>IF(E113&gt;65, (1-((1+Parameters!$B$10)/(1+Parameters!$B$5))^(E113-65))/(((1+Parameters!$B$5)/(1+Parameters!$B$10))-1), 0)</f>
        <v/>
      </c>
      <c r="V113" s="5">
        <f>S113 * U113 * (1+Parameters!$B$5)^-(65-B113)</f>
        <v/>
      </c>
      <c r="W113" s="5">
        <f>IF(AND(E113&gt;=66, E113&lt;=69), 5*S113*(1+Parameters!$B$5)^-(E113-B113), 0)</f>
        <v/>
      </c>
      <c r="X113" s="5">
        <f>V113 + W113 + R113</f>
        <v/>
      </c>
      <c r="Y113" s="5">
        <f>IF(E113&gt;=65, M113/S113, "")</f>
        <v/>
      </c>
    </row>
    <row r="114">
      <c r="A114" t="n">
        <v>113</v>
      </c>
      <c r="B114" t="n">
        <v>58</v>
      </c>
      <c r="C114" s="5" t="n">
        <v>6590</v>
      </c>
      <c r="D114" t="n">
        <v>0.0217</v>
      </c>
      <c r="E114" t="n">
        <v>78</v>
      </c>
      <c r="F114" s="5" t="n">
        <v>65900</v>
      </c>
      <c r="G114">
        <f>MIN(65-B114, MAX(0, E114-B114))</f>
        <v/>
      </c>
      <c r="H114">
        <f>B114+G114</f>
        <v/>
      </c>
      <c r="I114" s="5">
        <f>F114*(1+D114)^G114</f>
        <v/>
      </c>
      <c r="J114">
        <f>(1+D114)/(1+Parameters!$B$5)</f>
        <v/>
      </c>
      <c r="K114" s="5">
        <f>IF(G114&gt;0, IF(ROUND(J114, 6)=1, G114 * C114 * (1+Parameters!$B$5)^-0.5, C114 * (1-J114^G114)/(1-J114) * (1+Parameters!$B$5)^-0.5), 0)</f>
        <v/>
      </c>
      <c r="L114" s="5">
        <f>K114*(1-Parameters!$B$4)</f>
        <v/>
      </c>
      <c r="M114" s="5">
        <f>L114*(1+Parameters!$B$5)^G114</f>
        <v/>
      </c>
      <c r="N114" s="5">
        <f>IF(E114&gt;=65, (65-B114)*I114/Parameters!$B$6, 0)</f>
        <v/>
      </c>
      <c r="O114">
        <f>IF(E114&gt;65, (1-(1+Parameters!$B$5)^-(E114-65))/Parameters!$B$5, 0)</f>
        <v/>
      </c>
      <c r="P114" s="5">
        <f>N114 * O114 * (1+Parameters!$B$5)^-(65-B114)</f>
        <v/>
      </c>
      <c r="Q114" s="5">
        <f>IF(AND(E114&gt;=66, E114&lt;=69), 5*N114*(1+Parameters!$B$5)^-(E114-B114), 0)</f>
        <v/>
      </c>
      <c r="R114" s="5">
        <f>IF(E114&lt;=65, L114, 0)</f>
        <v/>
      </c>
      <c r="S114" s="5">
        <f>N114 * (Parameters!$B$6 / Parameters!$B$9)</f>
        <v/>
      </c>
      <c r="T114" s="5">
        <f>P114 + Q114</f>
        <v/>
      </c>
      <c r="U114">
        <f>IF(E114&gt;65, (1-((1+Parameters!$B$10)/(1+Parameters!$B$5))^(E114-65))/(((1+Parameters!$B$5)/(1+Parameters!$B$10))-1), 0)</f>
        <v/>
      </c>
      <c r="V114" s="5">
        <f>S114 * U114 * (1+Parameters!$B$5)^-(65-B114)</f>
        <v/>
      </c>
      <c r="W114" s="5">
        <f>IF(AND(E114&gt;=66, E114&lt;=69), 5*S114*(1+Parameters!$B$5)^-(E114-B114), 0)</f>
        <v/>
      </c>
      <c r="X114" s="5">
        <f>V114 + W114 + R114</f>
        <v/>
      </c>
      <c r="Y114" s="5">
        <f>IF(E114&gt;=65, M114/S114, "")</f>
        <v/>
      </c>
    </row>
    <row r="115">
      <c r="A115" t="n">
        <v>114</v>
      </c>
      <c r="B115" t="n">
        <v>29</v>
      </c>
      <c r="C115" s="5" t="n">
        <v>1850</v>
      </c>
      <c r="D115" t="n">
        <v>0.0579</v>
      </c>
      <c r="E115" t="n">
        <v>84</v>
      </c>
      <c r="F115" s="5" t="n">
        <v>18500</v>
      </c>
      <c r="G115">
        <f>MIN(65-B115, MAX(0, E115-B115))</f>
        <v/>
      </c>
      <c r="H115">
        <f>B115+G115</f>
        <v/>
      </c>
      <c r="I115" s="5">
        <f>F115*(1+D115)^G115</f>
        <v/>
      </c>
      <c r="J115">
        <f>(1+D115)/(1+Parameters!$B$5)</f>
        <v/>
      </c>
      <c r="K115" s="5">
        <f>IF(G115&gt;0, IF(ROUND(J115, 6)=1, G115 * C115 * (1+Parameters!$B$5)^-0.5, C115 * (1-J115^G115)/(1-J115) * (1+Parameters!$B$5)^-0.5), 0)</f>
        <v/>
      </c>
      <c r="L115" s="5">
        <f>K115*(1-Parameters!$B$4)</f>
        <v/>
      </c>
      <c r="M115" s="5">
        <f>L115*(1+Parameters!$B$5)^G115</f>
        <v/>
      </c>
      <c r="N115" s="5">
        <f>IF(E115&gt;=65, (65-B115)*I115/Parameters!$B$6, 0)</f>
        <v/>
      </c>
      <c r="O115">
        <f>IF(E115&gt;65, (1-(1+Parameters!$B$5)^-(E115-65))/Parameters!$B$5, 0)</f>
        <v/>
      </c>
      <c r="P115" s="5">
        <f>N115 * O115 * (1+Parameters!$B$5)^-(65-B115)</f>
        <v/>
      </c>
      <c r="Q115" s="5">
        <f>IF(AND(E115&gt;=66, E115&lt;=69), 5*N115*(1+Parameters!$B$5)^-(E115-B115), 0)</f>
        <v/>
      </c>
      <c r="R115" s="5">
        <f>IF(E115&lt;=65, L115, 0)</f>
        <v/>
      </c>
      <c r="S115" s="5">
        <f>N115 * (Parameters!$B$6 / Parameters!$B$9)</f>
        <v/>
      </c>
      <c r="T115" s="5">
        <f>P115 + Q115</f>
        <v/>
      </c>
      <c r="U115">
        <f>IF(E115&gt;65, (1-((1+Parameters!$B$10)/(1+Parameters!$B$5))^(E115-65))/(((1+Parameters!$B$5)/(1+Parameters!$B$10))-1), 0)</f>
        <v/>
      </c>
      <c r="V115" s="5">
        <f>S115 * U115 * (1+Parameters!$B$5)^-(65-B115)</f>
        <v/>
      </c>
      <c r="W115" s="5">
        <f>IF(AND(E115&gt;=66, E115&lt;=69), 5*S115*(1+Parameters!$B$5)^-(E115-B115), 0)</f>
        <v/>
      </c>
      <c r="X115" s="5">
        <f>V115 + W115 + R115</f>
        <v/>
      </c>
      <c r="Y115" s="5">
        <f>IF(E115&gt;=65, M115/S115, "")</f>
        <v/>
      </c>
    </row>
    <row r="116">
      <c r="A116" t="n">
        <v>115</v>
      </c>
      <c r="B116" t="n">
        <v>21</v>
      </c>
      <c r="C116" s="5" t="n">
        <v>2640</v>
      </c>
      <c r="D116" t="n">
        <v>0.0422</v>
      </c>
      <c r="E116" t="n">
        <v>77</v>
      </c>
      <c r="F116" s="5" t="n">
        <v>26400</v>
      </c>
      <c r="G116">
        <f>MIN(65-B116, MAX(0, E116-B116))</f>
        <v/>
      </c>
      <c r="H116">
        <f>B116+G116</f>
        <v/>
      </c>
      <c r="I116" s="5">
        <f>F116*(1+D116)^G116</f>
        <v/>
      </c>
      <c r="J116">
        <f>(1+D116)/(1+Parameters!$B$5)</f>
        <v/>
      </c>
      <c r="K116" s="5">
        <f>IF(G116&gt;0, IF(ROUND(J116, 6)=1, G116 * C116 * (1+Parameters!$B$5)^-0.5, C116 * (1-J116^G116)/(1-J116) * (1+Parameters!$B$5)^-0.5), 0)</f>
        <v/>
      </c>
      <c r="L116" s="5">
        <f>K116*(1-Parameters!$B$4)</f>
        <v/>
      </c>
      <c r="M116" s="5">
        <f>L116*(1+Parameters!$B$5)^G116</f>
        <v/>
      </c>
      <c r="N116" s="5">
        <f>IF(E116&gt;=65, (65-B116)*I116/Parameters!$B$6, 0)</f>
        <v/>
      </c>
      <c r="O116">
        <f>IF(E116&gt;65, (1-(1+Parameters!$B$5)^-(E116-65))/Parameters!$B$5, 0)</f>
        <v/>
      </c>
      <c r="P116" s="5">
        <f>N116 * O116 * (1+Parameters!$B$5)^-(65-B116)</f>
        <v/>
      </c>
      <c r="Q116" s="5">
        <f>IF(AND(E116&gt;=66, E116&lt;=69), 5*N116*(1+Parameters!$B$5)^-(E116-B116), 0)</f>
        <v/>
      </c>
      <c r="R116" s="5">
        <f>IF(E116&lt;=65, L116, 0)</f>
        <v/>
      </c>
      <c r="S116" s="5">
        <f>N116 * (Parameters!$B$6 / Parameters!$B$9)</f>
        <v/>
      </c>
      <c r="T116" s="5">
        <f>P116 + Q116</f>
        <v/>
      </c>
      <c r="U116">
        <f>IF(E116&gt;65, (1-((1+Parameters!$B$10)/(1+Parameters!$B$5))^(E116-65))/(((1+Parameters!$B$5)/(1+Parameters!$B$10))-1), 0)</f>
        <v/>
      </c>
      <c r="V116" s="5">
        <f>S116 * U116 * (1+Parameters!$B$5)^-(65-B116)</f>
        <v/>
      </c>
      <c r="W116" s="5">
        <f>IF(AND(E116&gt;=66, E116&lt;=69), 5*S116*(1+Parameters!$B$5)^-(E116-B116), 0)</f>
        <v/>
      </c>
      <c r="X116" s="5">
        <f>V116 + W116 + R116</f>
        <v/>
      </c>
      <c r="Y116" s="5">
        <f>IF(E116&gt;=65, M116/S116, "")</f>
        <v/>
      </c>
    </row>
    <row r="117">
      <c r="A117" t="n">
        <v>116</v>
      </c>
      <c r="B117" t="n">
        <v>43</v>
      </c>
      <c r="C117" s="5" t="n">
        <v>2820</v>
      </c>
      <c r="D117" t="n">
        <v>0.0454</v>
      </c>
      <c r="E117" t="n">
        <v>79</v>
      </c>
      <c r="F117" s="5" t="n">
        <v>28200</v>
      </c>
      <c r="G117">
        <f>MIN(65-B117, MAX(0, E117-B117))</f>
        <v/>
      </c>
      <c r="H117">
        <f>B117+G117</f>
        <v/>
      </c>
      <c r="I117" s="5">
        <f>F117*(1+D117)^G117</f>
        <v/>
      </c>
      <c r="J117">
        <f>(1+D117)/(1+Parameters!$B$5)</f>
        <v/>
      </c>
      <c r="K117" s="5">
        <f>IF(G117&gt;0, IF(ROUND(J117, 6)=1, G117 * C117 * (1+Parameters!$B$5)^-0.5, C117 * (1-J117^G117)/(1-J117) * (1+Parameters!$B$5)^-0.5), 0)</f>
        <v/>
      </c>
      <c r="L117" s="5">
        <f>K117*(1-Parameters!$B$4)</f>
        <v/>
      </c>
      <c r="M117" s="5">
        <f>L117*(1+Parameters!$B$5)^G117</f>
        <v/>
      </c>
      <c r="N117" s="5">
        <f>IF(E117&gt;=65, (65-B117)*I117/Parameters!$B$6, 0)</f>
        <v/>
      </c>
      <c r="O117">
        <f>IF(E117&gt;65, (1-(1+Parameters!$B$5)^-(E117-65))/Parameters!$B$5, 0)</f>
        <v/>
      </c>
      <c r="P117" s="5">
        <f>N117 * O117 * (1+Parameters!$B$5)^-(65-B117)</f>
        <v/>
      </c>
      <c r="Q117" s="5">
        <f>IF(AND(E117&gt;=66, E117&lt;=69), 5*N117*(1+Parameters!$B$5)^-(E117-B117), 0)</f>
        <v/>
      </c>
      <c r="R117" s="5">
        <f>IF(E117&lt;=65, L117, 0)</f>
        <v/>
      </c>
      <c r="S117" s="5">
        <f>N117 * (Parameters!$B$6 / Parameters!$B$9)</f>
        <v/>
      </c>
      <c r="T117" s="5">
        <f>P117 + Q117</f>
        <v/>
      </c>
      <c r="U117">
        <f>IF(E117&gt;65, (1-((1+Parameters!$B$10)/(1+Parameters!$B$5))^(E117-65))/(((1+Parameters!$B$5)/(1+Parameters!$B$10))-1), 0)</f>
        <v/>
      </c>
      <c r="V117" s="5">
        <f>S117 * U117 * (1+Parameters!$B$5)^-(65-B117)</f>
        <v/>
      </c>
      <c r="W117" s="5">
        <f>IF(AND(E117&gt;=66, E117&lt;=69), 5*S117*(1+Parameters!$B$5)^-(E117-B117), 0)</f>
        <v/>
      </c>
      <c r="X117" s="5">
        <f>V117 + W117 + R117</f>
        <v/>
      </c>
      <c r="Y117" s="5">
        <f>IF(E117&gt;=65, M117/S117, "")</f>
        <v/>
      </c>
    </row>
    <row r="118">
      <c r="A118" t="n">
        <v>117</v>
      </c>
      <c r="B118" t="n">
        <v>37</v>
      </c>
      <c r="C118" s="5" t="n">
        <v>3380</v>
      </c>
      <c r="D118" t="n">
        <v>0.0476</v>
      </c>
      <c r="E118" t="n">
        <v>86</v>
      </c>
      <c r="F118" s="5" t="n">
        <v>33800</v>
      </c>
      <c r="G118">
        <f>MIN(65-B118, MAX(0, E118-B118))</f>
        <v/>
      </c>
      <c r="H118">
        <f>B118+G118</f>
        <v/>
      </c>
      <c r="I118" s="5">
        <f>F118*(1+D118)^G118</f>
        <v/>
      </c>
      <c r="J118">
        <f>(1+D118)/(1+Parameters!$B$5)</f>
        <v/>
      </c>
      <c r="K118" s="5">
        <f>IF(G118&gt;0, IF(ROUND(J118, 6)=1, G118 * C118 * (1+Parameters!$B$5)^-0.5, C118 * (1-J118^G118)/(1-J118) * (1+Parameters!$B$5)^-0.5), 0)</f>
        <v/>
      </c>
      <c r="L118" s="5">
        <f>K118*(1-Parameters!$B$4)</f>
        <v/>
      </c>
      <c r="M118" s="5">
        <f>L118*(1+Parameters!$B$5)^G118</f>
        <v/>
      </c>
      <c r="N118" s="5">
        <f>IF(E118&gt;=65, (65-B118)*I118/Parameters!$B$6, 0)</f>
        <v/>
      </c>
      <c r="O118">
        <f>IF(E118&gt;65, (1-(1+Parameters!$B$5)^-(E118-65))/Parameters!$B$5, 0)</f>
        <v/>
      </c>
      <c r="P118" s="5">
        <f>N118 * O118 * (1+Parameters!$B$5)^-(65-B118)</f>
        <v/>
      </c>
      <c r="Q118" s="5">
        <f>IF(AND(E118&gt;=66, E118&lt;=69), 5*N118*(1+Parameters!$B$5)^-(E118-B118), 0)</f>
        <v/>
      </c>
      <c r="R118" s="5">
        <f>IF(E118&lt;=65, L118, 0)</f>
        <v/>
      </c>
      <c r="S118" s="5">
        <f>N118 * (Parameters!$B$6 / Parameters!$B$9)</f>
        <v/>
      </c>
      <c r="T118" s="5">
        <f>P118 + Q118</f>
        <v/>
      </c>
      <c r="U118">
        <f>IF(E118&gt;65, (1-((1+Parameters!$B$10)/(1+Parameters!$B$5))^(E118-65))/(((1+Parameters!$B$5)/(1+Parameters!$B$10))-1), 0)</f>
        <v/>
      </c>
      <c r="V118" s="5">
        <f>S118 * U118 * (1+Parameters!$B$5)^-(65-B118)</f>
        <v/>
      </c>
      <c r="W118" s="5">
        <f>IF(AND(E118&gt;=66, E118&lt;=69), 5*S118*(1+Parameters!$B$5)^-(E118-B118), 0)</f>
        <v/>
      </c>
      <c r="X118" s="5">
        <f>V118 + W118 + R118</f>
        <v/>
      </c>
      <c r="Y118" s="5">
        <f>IF(E118&gt;=65, M118/S118, "")</f>
        <v/>
      </c>
    </row>
    <row r="119">
      <c r="A119" t="n">
        <v>118</v>
      </c>
      <c r="B119" t="n">
        <v>27</v>
      </c>
      <c r="C119" s="5" t="n">
        <v>1080</v>
      </c>
      <c r="D119" t="n">
        <v>0.0537</v>
      </c>
      <c r="E119" t="n">
        <v>73</v>
      </c>
      <c r="F119" s="5" t="n">
        <v>10800</v>
      </c>
      <c r="G119">
        <f>MIN(65-B119, MAX(0, E119-B119))</f>
        <v/>
      </c>
      <c r="H119">
        <f>B119+G119</f>
        <v/>
      </c>
      <c r="I119" s="5">
        <f>F119*(1+D119)^G119</f>
        <v/>
      </c>
      <c r="J119">
        <f>(1+D119)/(1+Parameters!$B$5)</f>
        <v/>
      </c>
      <c r="K119" s="5">
        <f>IF(G119&gt;0, IF(ROUND(J119, 6)=1, G119 * C119 * (1+Parameters!$B$5)^-0.5, C119 * (1-J119^G119)/(1-J119) * (1+Parameters!$B$5)^-0.5), 0)</f>
        <v/>
      </c>
      <c r="L119" s="5">
        <f>K119*(1-Parameters!$B$4)</f>
        <v/>
      </c>
      <c r="M119" s="5">
        <f>L119*(1+Parameters!$B$5)^G119</f>
        <v/>
      </c>
      <c r="N119" s="5">
        <f>IF(E119&gt;=65, (65-B119)*I119/Parameters!$B$6, 0)</f>
        <v/>
      </c>
      <c r="O119">
        <f>IF(E119&gt;65, (1-(1+Parameters!$B$5)^-(E119-65))/Parameters!$B$5, 0)</f>
        <v/>
      </c>
      <c r="P119" s="5">
        <f>N119 * O119 * (1+Parameters!$B$5)^-(65-B119)</f>
        <v/>
      </c>
      <c r="Q119" s="5">
        <f>IF(AND(E119&gt;=66, E119&lt;=69), 5*N119*(1+Parameters!$B$5)^-(E119-B119), 0)</f>
        <v/>
      </c>
      <c r="R119" s="5">
        <f>IF(E119&lt;=65, L119, 0)</f>
        <v/>
      </c>
      <c r="S119" s="5">
        <f>N119 * (Parameters!$B$6 / Parameters!$B$9)</f>
        <v/>
      </c>
      <c r="T119" s="5">
        <f>P119 + Q119</f>
        <v/>
      </c>
      <c r="U119">
        <f>IF(E119&gt;65, (1-((1+Parameters!$B$10)/(1+Parameters!$B$5))^(E119-65))/(((1+Parameters!$B$5)/(1+Parameters!$B$10))-1), 0)</f>
        <v/>
      </c>
      <c r="V119" s="5">
        <f>S119 * U119 * (1+Parameters!$B$5)^-(65-B119)</f>
        <v/>
      </c>
      <c r="W119" s="5">
        <f>IF(AND(E119&gt;=66, E119&lt;=69), 5*S119*(1+Parameters!$B$5)^-(E119-B119), 0)</f>
        <v/>
      </c>
      <c r="X119" s="5">
        <f>V119 + W119 + R119</f>
        <v/>
      </c>
      <c r="Y119" s="5">
        <f>IF(E119&gt;=65, M119/S119, "")</f>
        <v/>
      </c>
    </row>
    <row r="120">
      <c r="A120" t="n">
        <v>119</v>
      </c>
      <c r="B120" t="n">
        <v>59</v>
      </c>
      <c r="C120" s="5" t="n">
        <v>2500</v>
      </c>
      <c r="D120" t="n">
        <v>0.0541</v>
      </c>
      <c r="E120" t="n">
        <v>76</v>
      </c>
      <c r="F120" s="5" t="n">
        <v>25000</v>
      </c>
      <c r="G120">
        <f>MIN(65-B120, MAX(0, E120-B120))</f>
        <v/>
      </c>
      <c r="H120">
        <f>B120+G120</f>
        <v/>
      </c>
      <c r="I120" s="5">
        <f>F120*(1+D120)^G120</f>
        <v/>
      </c>
      <c r="J120">
        <f>(1+D120)/(1+Parameters!$B$5)</f>
        <v/>
      </c>
      <c r="K120" s="5">
        <f>IF(G120&gt;0, IF(ROUND(J120, 6)=1, G120 * C120 * (1+Parameters!$B$5)^-0.5, C120 * (1-J120^G120)/(1-J120) * (1+Parameters!$B$5)^-0.5), 0)</f>
        <v/>
      </c>
      <c r="L120" s="5">
        <f>K120*(1-Parameters!$B$4)</f>
        <v/>
      </c>
      <c r="M120" s="5">
        <f>L120*(1+Parameters!$B$5)^G120</f>
        <v/>
      </c>
      <c r="N120" s="5">
        <f>IF(E120&gt;=65, (65-B120)*I120/Parameters!$B$6, 0)</f>
        <v/>
      </c>
      <c r="O120">
        <f>IF(E120&gt;65, (1-(1+Parameters!$B$5)^-(E120-65))/Parameters!$B$5, 0)</f>
        <v/>
      </c>
      <c r="P120" s="5">
        <f>N120 * O120 * (1+Parameters!$B$5)^-(65-B120)</f>
        <v/>
      </c>
      <c r="Q120" s="5">
        <f>IF(AND(E120&gt;=66, E120&lt;=69), 5*N120*(1+Parameters!$B$5)^-(E120-B120), 0)</f>
        <v/>
      </c>
      <c r="R120" s="5">
        <f>IF(E120&lt;=65, L120, 0)</f>
        <v/>
      </c>
      <c r="S120" s="5">
        <f>N120 * (Parameters!$B$6 / Parameters!$B$9)</f>
        <v/>
      </c>
      <c r="T120" s="5">
        <f>P120 + Q120</f>
        <v/>
      </c>
      <c r="U120">
        <f>IF(E120&gt;65, (1-((1+Parameters!$B$10)/(1+Parameters!$B$5))^(E120-65))/(((1+Parameters!$B$5)/(1+Parameters!$B$10))-1), 0)</f>
        <v/>
      </c>
      <c r="V120" s="5">
        <f>S120 * U120 * (1+Parameters!$B$5)^-(65-B120)</f>
        <v/>
      </c>
      <c r="W120" s="5">
        <f>IF(AND(E120&gt;=66, E120&lt;=69), 5*S120*(1+Parameters!$B$5)^-(E120-B120), 0)</f>
        <v/>
      </c>
      <c r="X120" s="5">
        <f>V120 + W120 + R120</f>
        <v/>
      </c>
      <c r="Y120" s="5">
        <f>IF(E120&gt;=65, M120/S120, "")</f>
        <v/>
      </c>
    </row>
    <row r="121">
      <c r="A121" t="n">
        <v>120</v>
      </c>
      <c r="B121" t="n">
        <v>41</v>
      </c>
      <c r="C121" s="5" t="n">
        <v>4180</v>
      </c>
      <c r="D121" t="n">
        <v>0.0225</v>
      </c>
      <c r="E121" t="n">
        <v>77</v>
      </c>
      <c r="F121" s="5" t="n">
        <v>41800</v>
      </c>
      <c r="G121">
        <f>MIN(65-B121, MAX(0, E121-B121))</f>
        <v/>
      </c>
      <c r="H121">
        <f>B121+G121</f>
        <v/>
      </c>
      <c r="I121" s="5">
        <f>F121*(1+D121)^G121</f>
        <v/>
      </c>
      <c r="J121">
        <f>(1+D121)/(1+Parameters!$B$5)</f>
        <v/>
      </c>
      <c r="K121" s="5">
        <f>IF(G121&gt;0, IF(ROUND(J121, 6)=1, G121 * C121 * (1+Parameters!$B$5)^-0.5, C121 * (1-J121^G121)/(1-J121) * (1+Parameters!$B$5)^-0.5), 0)</f>
        <v/>
      </c>
      <c r="L121" s="5">
        <f>K121*(1-Parameters!$B$4)</f>
        <v/>
      </c>
      <c r="M121" s="5">
        <f>L121*(1+Parameters!$B$5)^G121</f>
        <v/>
      </c>
      <c r="N121" s="5">
        <f>IF(E121&gt;=65, (65-B121)*I121/Parameters!$B$6, 0)</f>
        <v/>
      </c>
      <c r="O121">
        <f>IF(E121&gt;65, (1-(1+Parameters!$B$5)^-(E121-65))/Parameters!$B$5, 0)</f>
        <v/>
      </c>
      <c r="P121" s="5">
        <f>N121 * O121 * (1+Parameters!$B$5)^-(65-B121)</f>
        <v/>
      </c>
      <c r="Q121" s="5">
        <f>IF(AND(E121&gt;=66, E121&lt;=69), 5*N121*(1+Parameters!$B$5)^-(E121-B121), 0)</f>
        <v/>
      </c>
      <c r="R121" s="5">
        <f>IF(E121&lt;=65, L121, 0)</f>
        <v/>
      </c>
      <c r="S121" s="5">
        <f>N121 * (Parameters!$B$6 / Parameters!$B$9)</f>
        <v/>
      </c>
      <c r="T121" s="5">
        <f>P121 + Q121</f>
        <v/>
      </c>
      <c r="U121">
        <f>IF(E121&gt;65, (1-((1+Parameters!$B$10)/(1+Parameters!$B$5))^(E121-65))/(((1+Parameters!$B$5)/(1+Parameters!$B$10))-1), 0)</f>
        <v/>
      </c>
      <c r="V121" s="5">
        <f>S121 * U121 * (1+Parameters!$B$5)^-(65-B121)</f>
        <v/>
      </c>
      <c r="W121" s="5">
        <f>IF(AND(E121&gt;=66, E121&lt;=69), 5*S121*(1+Parameters!$B$5)^-(E121-B121), 0)</f>
        <v/>
      </c>
      <c r="X121" s="5">
        <f>V121 + W121 + R121</f>
        <v/>
      </c>
      <c r="Y121" s="5">
        <f>IF(E121&gt;=65, M121/S121, "")</f>
        <v/>
      </c>
    </row>
    <row r="122">
      <c r="A122" t="n">
        <v>121</v>
      </c>
      <c r="B122" t="n">
        <v>33</v>
      </c>
      <c r="C122" s="5" t="n">
        <v>2110</v>
      </c>
      <c r="D122" t="n">
        <v>0.0451</v>
      </c>
      <c r="E122" t="n">
        <v>88</v>
      </c>
      <c r="F122" s="5" t="n">
        <v>21100</v>
      </c>
      <c r="G122">
        <f>MIN(65-B122, MAX(0, E122-B122))</f>
        <v/>
      </c>
      <c r="H122">
        <f>B122+G122</f>
        <v/>
      </c>
      <c r="I122" s="5">
        <f>F122*(1+D122)^G122</f>
        <v/>
      </c>
      <c r="J122">
        <f>(1+D122)/(1+Parameters!$B$5)</f>
        <v/>
      </c>
      <c r="K122" s="5">
        <f>IF(G122&gt;0, IF(ROUND(J122, 6)=1, G122 * C122 * (1+Parameters!$B$5)^-0.5, C122 * (1-J122^G122)/(1-J122) * (1+Parameters!$B$5)^-0.5), 0)</f>
        <v/>
      </c>
      <c r="L122" s="5">
        <f>K122*(1-Parameters!$B$4)</f>
        <v/>
      </c>
      <c r="M122" s="5">
        <f>L122*(1+Parameters!$B$5)^G122</f>
        <v/>
      </c>
      <c r="N122" s="5">
        <f>IF(E122&gt;=65, (65-B122)*I122/Parameters!$B$6, 0)</f>
        <v/>
      </c>
      <c r="O122">
        <f>IF(E122&gt;65, (1-(1+Parameters!$B$5)^-(E122-65))/Parameters!$B$5, 0)</f>
        <v/>
      </c>
      <c r="P122" s="5">
        <f>N122 * O122 * (1+Parameters!$B$5)^-(65-B122)</f>
        <v/>
      </c>
      <c r="Q122" s="5">
        <f>IF(AND(E122&gt;=66, E122&lt;=69), 5*N122*(1+Parameters!$B$5)^-(E122-B122), 0)</f>
        <v/>
      </c>
      <c r="R122" s="5">
        <f>IF(E122&lt;=65, L122, 0)</f>
        <v/>
      </c>
      <c r="S122" s="5">
        <f>N122 * (Parameters!$B$6 / Parameters!$B$9)</f>
        <v/>
      </c>
      <c r="T122" s="5">
        <f>P122 + Q122</f>
        <v/>
      </c>
      <c r="U122">
        <f>IF(E122&gt;65, (1-((1+Parameters!$B$10)/(1+Parameters!$B$5))^(E122-65))/(((1+Parameters!$B$5)/(1+Parameters!$B$10))-1), 0)</f>
        <v/>
      </c>
      <c r="V122" s="5">
        <f>S122 * U122 * (1+Parameters!$B$5)^-(65-B122)</f>
        <v/>
      </c>
      <c r="W122" s="5">
        <f>IF(AND(E122&gt;=66, E122&lt;=69), 5*S122*(1+Parameters!$B$5)^-(E122-B122), 0)</f>
        <v/>
      </c>
      <c r="X122" s="5">
        <f>V122 + W122 + R122</f>
        <v/>
      </c>
      <c r="Y122" s="5">
        <f>IF(E122&gt;=65, M122/S122, "")</f>
        <v/>
      </c>
    </row>
    <row r="123">
      <c r="A123" t="n">
        <v>122</v>
      </c>
      <c r="B123" t="n">
        <v>18</v>
      </c>
      <c r="C123" s="5" t="n">
        <v>2140</v>
      </c>
      <c r="D123" t="n">
        <v>0.0566</v>
      </c>
      <c r="E123" t="n">
        <v>84</v>
      </c>
      <c r="F123" s="5" t="n">
        <v>21400</v>
      </c>
      <c r="G123">
        <f>MIN(65-B123, MAX(0, E123-B123))</f>
        <v/>
      </c>
      <c r="H123">
        <f>B123+G123</f>
        <v/>
      </c>
      <c r="I123" s="5">
        <f>F123*(1+D123)^G123</f>
        <v/>
      </c>
      <c r="J123">
        <f>(1+D123)/(1+Parameters!$B$5)</f>
        <v/>
      </c>
      <c r="K123" s="5">
        <f>IF(G123&gt;0, IF(ROUND(J123, 6)=1, G123 * C123 * (1+Parameters!$B$5)^-0.5, C123 * (1-J123^G123)/(1-J123) * (1+Parameters!$B$5)^-0.5), 0)</f>
        <v/>
      </c>
      <c r="L123" s="5">
        <f>K123*(1-Parameters!$B$4)</f>
        <v/>
      </c>
      <c r="M123" s="5">
        <f>L123*(1+Parameters!$B$5)^G123</f>
        <v/>
      </c>
      <c r="N123" s="5">
        <f>IF(E123&gt;=65, (65-B123)*I123/Parameters!$B$6, 0)</f>
        <v/>
      </c>
      <c r="O123">
        <f>IF(E123&gt;65, (1-(1+Parameters!$B$5)^-(E123-65))/Parameters!$B$5, 0)</f>
        <v/>
      </c>
      <c r="P123" s="5">
        <f>N123 * O123 * (1+Parameters!$B$5)^-(65-B123)</f>
        <v/>
      </c>
      <c r="Q123" s="5">
        <f>IF(AND(E123&gt;=66, E123&lt;=69), 5*N123*(1+Parameters!$B$5)^-(E123-B123), 0)</f>
        <v/>
      </c>
      <c r="R123" s="5">
        <f>IF(E123&lt;=65, L123, 0)</f>
        <v/>
      </c>
      <c r="S123" s="5">
        <f>N123 * (Parameters!$B$6 / Parameters!$B$9)</f>
        <v/>
      </c>
      <c r="T123" s="5">
        <f>P123 + Q123</f>
        <v/>
      </c>
      <c r="U123">
        <f>IF(E123&gt;65, (1-((1+Parameters!$B$10)/(1+Parameters!$B$5))^(E123-65))/(((1+Parameters!$B$5)/(1+Parameters!$B$10))-1), 0)</f>
        <v/>
      </c>
      <c r="V123" s="5">
        <f>S123 * U123 * (1+Parameters!$B$5)^-(65-B123)</f>
        <v/>
      </c>
      <c r="W123" s="5">
        <f>IF(AND(E123&gt;=66, E123&lt;=69), 5*S123*(1+Parameters!$B$5)^-(E123-B123), 0)</f>
        <v/>
      </c>
      <c r="X123" s="5">
        <f>V123 + W123 + R123</f>
        <v/>
      </c>
      <c r="Y123" s="5">
        <f>IF(E123&gt;=65, M123/S123, "")</f>
        <v/>
      </c>
    </row>
    <row r="124">
      <c r="A124" t="n">
        <v>123</v>
      </c>
      <c r="B124" t="n">
        <v>53</v>
      </c>
      <c r="C124" s="5" t="n">
        <v>3750</v>
      </c>
      <c r="D124" t="n">
        <v>0.0527</v>
      </c>
      <c r="E124" t="n">
        <v>66</v>
      </c>
      <c r="F124" s="5" t="n">
        <v>37500</v>
      </c>
      <c r="G124">
        <f>MIN(65-B124, MAX(0, E124-B124))</f>
        <v/>
      </c>
      <c r="H124">
        <f>B124+G124</f>
        <v/>
      </c>
      <c r="I124" s="5">
        <f>F124*(1+D124)^G124</f>
        <v/>
      </c>
      <c r="J124">
        <f>(1+D124)/(1+Parameters!$B$5)</f>
        <v/>
      </c>
      <c r="K124" s="5">
        <f>IF(G124&gt;0, IF(ROUND(J124, 6)=1, G124 * C124 * (1+Parameters!$B$5)^-0.5, C124 * (1-J124^G124)/(1-J124) * (1+Parameters!$B$5)^-0.5), 0)</f>
        <v/>
      </c>
      <c r="L124" s="5">
        <f>K124*(1-Parameters!$B$4)</f>
        <v/>
      </c>
      <c r="M124" s="5">
        <f>L124*(1+Parameters!$B$5)^G124</f>
        <v/>
      </c>
      <c r="N124" s="5">
        <f>IF(E124&gt;=65, (65-B124)*I124/Parameters!$B$6, 0)</f>
        <v/>
      </c>
      <c r="O124">
        <f>IF(E124&gt;65, (1-(1+Parameters!$B$5)^-(E124-65))/Parameters!$B$5, 0)</f>
        <v/>
      </c>
      <c r="P124" s="5">
        <f>N124 * O124 * (1+Parameters!$B$5)^-(65-B124)</f>
        <v/>
      </c>
      <c r="Q124" s="5">
        <f>IF(AND(E124&gt;=66, E124&lt;=69), 5*N124*(1+Parameters!$B$5)^-(E124-B124), 0)</f>
        <v/>
      </c>
      <c r="R124" s="5">
        <f>IF(E124&lt;=65, L124, 0)</f>
        <v/>
      </c>
      <c r="S124" s="5">
        <f>N124 * (Parameters!$B$6 / Parameters!$B$9)</f>
        <v/>
      </c>
      <c r="T124" s="5">
        <f>P124 + Q124</f>
        <v/>
      </c>
      <c r="U124">
        <f>IF(E124&gt;65, (1-((1+Parameters!$B$10)/(1+Parameters!$B$5))^(E124-65))/(((1+Parameters!$B$5)/(1+Parameters!$B$10))-1), 0)</f>
        <v/>
      </c>
      <c r="V124" s="5">
        <f>S124 * U124 * (1+Parameters!$B$5)^-(65-B124)</f>
        <v/>
      </c>
      <c r="W124" s="5">
        <f>IF(AND(E124&gt;=66, E124&lt;=69), 5*S124*(1+Parameters!$B$5)^-(E124-B124), 0)</f>
        <v/>
      </c>
      <c r="X124" s="5">
        <f>V124 + W124 + R124</f>
        <v/>
      </c>
      <c r="Y124" s="5">
        <f>IF(E124&gt;=65, M124/S124, "")</f>
        <v/>
      </c>
    </row>
    <row r="125">
      <c r="A125" t="n">
        <v>124</v>
      </c>
      <c r="B125" t="n">
        <v>18</v>
      </c>
      <c r="C125" s="5" t="n">
        <v>2240</v>
      </c>
      <c r="D125" t="n">
        <v>0.0385</v>
      </c>
      <c r="E125" t="n">
        <v>84</v>
      </c>
      <c r="F125" s="5" t="n">
        <v>22400</v>
      </c>
      <c r="G125">
        <f>MIN(65-B125, MAX(0, E125-B125))</f>
        <v/>
      </c>
      <c r="H125">
        <f>B125+G125</f>
        <v/>
      </c>
      <c r="I125" s="5">
        <f>F125*(1+D125)^G125</f>
        <v/>
      </c>
      <c r="J125">
        <f>(1+D125)/(1+Parameters!$B$5)</f>
        <v/>
      </c>
      <c r="K125" s="5">
        <f>IF(G125&gt;0, IF(ROUND(J125, 6)=1, G125 * C125 * (1+Parameters!$B$5)^-0.5, C125 * (1-J125^G125)/(1-J125) * (1+Parameters!$B$5)^-0.5), 0)</f>
        <v/>
      </c>
      <c r="L125" s="5">
        <f>K125*(1-Parameters!$B$4)</f>
        <v/>
      </c>
      <c r="M125" s="5">
        <f>L125*(1+Parameters!$B$5)^G125</f>
        <v/>
      </c>
      <c r="N125" s="5">
        <f>IF(E125&gt;=65, (65-B125)*I125/Parameters!$B$6, 0)</f>
        <v/>
      </c>
      <c r="O125">
        <f>IF(E125&gt;65, (1-(1+Parameters!$B$5)^-(E125-65))/Parameters!$B$5, 0)</f>
        <v/>
      </c>
      <c r="P125" s="5">
        <f>N125 * O125 * (1+Parameters!$B$5)^-(65-B125)</f>
        <v/>
      </c>
      <c r="Q125" s="5">
        <f>IF(AND(E125&gt;=66, E125&lt;=69), 5*N125*(1+Parameters!$B$5)^-(E125-B125), 0)</f>
        <v/>
      </c>
      <c r="R125" s="5">
        <f>IF(E125&lt;=65, L125, 0)</f>
        <v/>
      </c>
      <c r="S125" s="5">
        <f>N125 * (Parameters!$B$6 / Parameters!$B$9)</f>
        <v/>
      </c>
      <c r="T125" s="5">
        <f>P125 + Q125</f>
        <v/>
      </c>
      <c r="U125">
        <f>IF(E125&gt;65, (1-((1+Parameters!$B$10)/(1+Parameters!$B$5))^(E125-65))/(((1+Parameters!$B$5)/(1+Parameters!$B$10))-1), 0)</f>
        <v/>
      </c>
      <c r="V125" s="5">
        <f>S125 * U125 * (1+Parameters!$B$5)^-(65-B125)</f>
        <v/>
      </c>
      <c r="W125" s="5">
        <f>IF(AND(E125&gt;=66, E125&lt;=69), 5*S125*(1+Parameters!$B$5)^-(E125-B125), 0)</f>
        <v/>
      </c>
      <c r="X125" s="5">
        <f>V125 + W125 + R125</f>
        <v/>
      </c>
      <c r="Y125" s="5">
        <f>IF(E125&gt;=65, M125/S125, "")</f>
        <v/>
      </c>
    </row>
    <row r="126">
      <c r="A126" t="n">
        <v>125</v>
      </c>
      <c r="B126" t="n">
        <v>20</v>
      </c>
      <c r="C126" s="5" t="n">
        <v>2380</v>
      </c>
      <c r="D126" t="n">
        <v>0.0209</v>
      </c>
      <c r="E126" t="n">
        <v>78</v>
      </c>
      <c r="F126" s="5" t="n">
        <v>23800</v>
      </c>
      <c r="G126">
        <f>MIN(65-B126, MAX(0, E126-B126))</f>
        <v/>
      </c>
      <c r="H126">
        <f>B126+G126</f>
        <v/>
      </c>
      <c r="I126" s="5">
        <f>F126*(1+D126)^G126</f>
        <v/>
      </c>
      <c r="J126">
        <f>(1+D126)/(1+Parameters!$B$5)</f>
        <v/>
      </c>
      <c r="K126" s="5">
        <f>IF(G126&gt;0, IF(ROUND(J126, 6)=1, G126 * C126 * (1+Parameters!$B$5)^-0.5, C126 * (1-J126^G126)/(1-J126) * (1+Parameters!$B$5)^-0.5), 0)</f>
        <v/>
      </c>
      <c r="L126" s="5">
        <f>K126*(1-Parameters!$B$4)</f>
        <v/>
      </c>
      <c r="M126" s="5">
        <f>L126*(1+Parameters!$B$5)^G126</f>
        <v/>
      </c>
      <c r="N126" s="5">
        <f>IF(E126&gt;=65, (65-B126)*I126/Parameters!$B$6, 0)</f>
        <v/>
      </c>
      <c r="O126">
        <f>IF(E126&gt;65, (1-(1+Parameters!$B$5)^-(E126-65))/Parameters!$B$5, 0)</f>
        <v/>
      </c>
      <c r="P126" s="5">
        <f>N126 * O126 * (1+Parameters!$B$5)^-(65-B126)</f>
        <v/>
      </c>
      <c r="Q126" s="5">
        <f>IF(AND(E126&gt;=66, E126&lt;=69), 5*N126*(1+Parameters!$B$5)^-(E126-B126), 0)</f>
        <v/>
      </c>
      <c r="R126" s="5">
        <f>IF(E126&lt;=65, L126, 0)</f>
        <v/>
      </c>
      <c r="S126" s="5">
        <f>N126 * (Parameters!$B$6 / Parameters!$B$9)</f>
        <v/>
      </c>
      <c r="T126" s="5">
        <f>P126 + Q126</f>
        <v/>
      </c>
      <c r="U126">
        <f>IF(E126&gt;65, (1-((1+Parameters!$B$10)/(1+Parameters!$B$5))^(E126-65))/(((1+Parameters!$B$5)/(1+Parameters!$B$10))-1), 0)</f>
        <v/>
      </c>
      <c r="V126" s="5">
        <f>S126 * U126 * (1+Parameters!$B$5)^-(65-B126)</f>
        <v/>
      </c>
      <c r="W126" s="5">
        <f>IF(AND(E126&gt;=66, E126&lt;=69), 5*S126*(1+Parameters!$B$5)^-(E126-B126), 0)</f>
        <v/>
      </c>
      <c r="X126" s="5">
        <f>V126 + W126 + R126</f>
        <v/>
      </c>
      <c r="Y126" s="5">
        <f>IF(E126&gt;=65, M126/S126, "")</f>
        <v/>
      </c>
    </row>
    <row r="127">
      <c r="A127" t="n">
        <v>126</v>
      </c>
      <c r="B127" t="n">
        <v>32</v>
      </c>
      <c r="C127" s="5" t="n">
        <v>4890</v>
      </c>
      <c r="D127" t="n">
        <v>0.0555</v>
      </c>
      <c r="E127" t="n">
        <v>97</v>
      </c>
      <c r="F127" s="5" t="n">
        <v>48900</v>
      </c>
      <c r="G127">
        <f>MIN(65-B127, MAX(0, E127-B127))</f>
        <v/>
      </c>
      <c r="H127">
        <f>B127+G127</f>
        <v/>
      </c>
      <c r="I127" s="5">
        <f>F127*(1+D127)^G127</f>
        <v/>
      </c>
      <c r="J127">
        <f>(1+D127)/(1+Parameters!$B$5)</f>
        <v/>
      </c>
      <c r="K127" s="5">
        <f>IF(G127&gt;0, IF(ROUND(J127, 6)=1, G127 * C127 * (1+Parameters!$B$5)^-0.5, C127 * (1-J127^G127)/(1-J127) * (1+Parameters!$B$5)^-0.5), 0)</f>
        <v/>
      </c>
      <c r="L127" s="5">
        <f>K127*(1-Parameters!$B$4)</f>
        <v/>
      </c>
      <c r="M127" s="5">
        <f>L127*(1+Parameters!$B$5)^G127</f>
        <v/>
      </c>
      <c r="N127" s="5">
        <f>IF(E127&gt;=65, (65-B127)*I127/Parameters!$B$6, 0)</f>
        <v/>
      </c>
      <c r="O127">
        <f>IF(E127&gt;65, (1-(1+Parameters!$B$5)^-(E127-65))/Parameters!$B$5, 0)</f>
        <v/>
      </c>
      <c r="P127" s="5">
        <f>N127 * O127 * (1+Parameters!$B$5)^-(65-B127)</f>
        <v/>
      </c>
      <c r="Q127" s="5">
        <f>IF(AND(E127&gt;=66, E127&lt;=69), 5*N127*(1+Parameters!$B$5)^-(E127-B127), 0)</f>
        <v/>
      </c>
      <c r="R127" s="5">
        <f>IF(E127&lt;=65, L127, 0)</f>
        <v/>
      </c>
      <c r="S127" s="5">
        <f>N127 * (Parameters!$B$6 / Parameters!$B$9)</f>
        <v/>
      </c>
      <c r="T127" s="5">
        <f>P127 + Q127</f>
        <v/>
      </c>
      <c r="U127">
        <f>IF(E127&gt;65, (1-((1+Parameters!$B$10)/(1+Parameters!$B$5))^(E127-65))/(((1+Parameters!$B$5)/(1+Parameters!$B$10))-1), 0)</f>
        <v/>
      </c>
      <c r="V127" s="5">
        <f>S127 * U127 * (1+Parameters!$B$5)^-(65-B127)</f>
        <v/>
      </c>
      <c r="W127" s="5">
        <f>IF(AND(E127&gt;=66, E127&lt;=69), 5*S127*(1+Parameters!$B$5)^-(E127-B127), 0)</f>
        <v/>
      </c>
      <c r="X127" s="5">
        <f>V127 + W127 + R127</f>
        <v/>
      </c>
      <c r="Y127" s="5">
        <f>IF(E127&gt;=65, M127/S127, "")</f>
        <v/>
      </c>
    </row>
    <row r="128">
      <c r="A128" t="n">
        <v>127</v>
      </c>
      <c r="B128" t="n">
        <v>39</v>
      </c>
      <c r="C128" s="5" t="n">
        <v>7080</v>
      </c>
      <c r="D128" t="n">
        <v>0.0412</v>
      </c>
      <c r="E128" t="n">
        <v>85</v>
      </c>
      <c r="F128" s="5" t="n">
        <v>70800</v>
      </c>
      <c r="G128">
        <f>MIN(65-B128, MAX(0, E128-B128))</f>
        <v/>
      </c>
      <c r="H128">
        <f>B128+G128</f>
        <v/>
      </c>
      <c r="I128" s="5">
        <f>F128*(1+D128)^G128</f>
        <v/>
      </c>
      <c r="J128">
        <f>(1+D128)/(1+Parameters!$B$5)</f>
        <v/>
      </c>
      <c r="K128" s="5">
        <f>IF(G128&gt;0, IF(ROUND(J128, 6)=1, G128 * C128 * (1+Parameters!$B$5)^-0.5, C128 * (1-J128^G128)/(1-J128) * (1+Parameters!$B$5)^-0.5), 0)</f>
        <v/>
      </c>
      <c r="L128" s="5">
        <f>K128*(1-Parameters!$B$4)</f>
        <v/>
      </c>
      <c r="M128" s="5">
        <f>L128*(1+Parameters!$B$5)^G128</f>
        <v/>
      </c>
      <c r="N128" s="5">
        <f>IF(E128&gt;=65, (65-B128)*I128/Parameters!$B$6, 0)</f>
        <v/>
      </c>
      <c r="O128">
        <f>IF(E128&gt;65, (1-(1+Parameters!$B$5)^-(E128-65))/Parameters!$B$5, 0)</f>
        <v/>
      </c>
      <c r="P128" s="5">
        <f>N128 * O128 * (1+Parameters!$B$5)^-(65-B128)</f>
        <v/>
      </c>
      <c r="Q128" s="5">
        <f>IF(AND(E128&gt;=66, E128&lt;=69), 5*N128*(1+Parameters!$B$5)^-(E128-B128), 0)</f>
        <v/>
      </c>
      <c r="R128" s="5">
        <f>IF(E128&lt;=65, L128, 0)</f>
        <v/>
      </c>
      <c r="S128" s="5">
        <f>N128 * (Parameters!$B$6 / Parameters!$B$9)</f>
        <v/>
      </c>
      <c r="T128" s="5">
        <f>P128 + Q128</f>
        <v/>
      </c>
      <c r="U128">
        <f>IF(E128&gt;65, (1-((1+Parameters!$B$10)/(1+Parameters!$B$5))^(E128-65))/(((1+Parameters!$B$5)/(1+Parameters!$B$10))-1), 0)</f>
        <v/>
      </c>
      <c r="V128" s="5">
        <f>S128 * U128 * (1+Parameters!$B$5)^-(65-B128)</f>
        <v/>
      </c>
      <c r="W128" s="5">
        <f>IF(AND(E128&gt;=66, E128&lt;=69), 5*S128*(1+Parameters!$B$5)^-(E128-B128), 0)</f>
        <v/>
      </c>
      <c r="X128" s="5">
        <f>V128 + W128 + R128</f>
        <v/>
      </c>
      <c r="Y128" s="5">
        <f>IF(E128&gt;=65, M128/S128, "")</f>
        <v/>
      </c>
    </row>
    <row r="129">
      <c r="A129" t="n">
        <v>128</v>
      </c>
      <c r="B129" t="n">
        <v>58</v>
      </c>
      <c r="C129" s="5" t="n">
        <v>16070</v>
      </c>
      <c r="D129" t="n">
        <v>0.0132</v>
      </c>
      <c r="E129" t="n">
        <v>87</v>
      </c>
      <c r="F129" s="5" t="n">
        <v>160700</v>
      </c>
      <c r="G129">
        <f>MIN(65-B129, MAX(0, E129-B129))</f>
        <v/>
      </c>
      <c r="H129">
        <f>B129+G129</f>
        <v/>
      </c>
      <c r="I129" s="5">
        <f>F129*(1+D129)^G129</f>
        <v/>
      </c>
      <c r="J129">
        <f>(1+D129)/(1+Parameters!$B$5)</f>
        <v/>
      </c>
      <c r="K129" s="5">
        <f>IF(G129&gt;0, IF(ROUND(J129, 6)=1, G129 * C129 * (1+Parameters!$B$5)^-0.5, C129 * (1-J129^G129)/(1-J129) * (1+Parameters!$B$5)^-0.5), 0)</f>
        <v/>
      </c>
      <c r="L129" s="5">
        <f>K129*(1-Parameters!$B$4)</f>
        <v/>
      </c>
      <c r="M129" s="5">
        <f>L129*(1+Parameters!$B$5)^G129</f>
        <v/>
      </c>
      <c r="N129" s="5">
        <f>IF(E129&gt;=65, (65-B129)*I129/Parameters!$B$6, 0)</f>
        <v/>
      </c>
      <c r="O129">
        <f>IF(E129&gt;65, (1-(1+Parameters!$B$5)^-(E129-65))/Parameters!$B$5, 0)</f>
        <v/>
      </c>
      <c r="P129" s="5">
        <f>N129 * O129 * (1+Parameters!$B$5)^-(65-B129)</f>
        <v/>
      </c>
      <c r="Q129" s="5">
        <f>IF(AND(E129&gt;=66, E129&lt;=69), 5*N129*(1+Parameters!$B$5)^-(E129-B129), 0)</f>
        <v/>
      </c>
      <c r="R129" s="5">
        <f>IF(E129&lt;=65, L129, 0)</f>
        <v/>
      </c>
      <c r="S129" s="5">
        <f>N129 * (Parameters!$B$6 / Parameters!$B$9)</f>
        <v/>
      </c>
      <c r="T129" s="5">
        <f>P129 + Q129</f>
        <v/>
      </c>
      <c r="U129">
        <f>IF(E129&gt;65, (1-((1+Parameters!$B$10)/(1+Parameters!$B$5))^(E129-65))/(((1+Parameters!$B$5)/(1+Parameters!$B$10))-1), 0)</f>
        <v/>
      </c>
      <c r="V129" s="5">
        <f>S129 * U129 * (1+Parameters!$B$5)^-(65-B129)</f>
        <v/>
      </c>
      <c r="W129" s="5">
        <f>IF(AND(E129&gt;=66, E129&lt;=69), 5*S129*(1+Parameters!$B$5)^-(E129-B129), 0)</f>
        <v/>
      </c>
      <c r="X129" s="5">
        <f>V129 + W129 + R129</f>
        <v/>
      </c>
      <c r="Y129" s="5">
        <f>IF(E129&gt;=65, M129/S129, "")</f>
        <v/>
      </c>
    </row>
    <row r="130">
      <c r="A130" t="n">
        <v>129</v>
      </c>
      <c r="B130" t="n">
        <v>31</v>
      </c>
      <c r="C130" s="5" t="n">
        <v>3560</v>
      </c>
      <c r="D130" t="n">
        <v>0.0294</v>
      </c>
      <c r="E130" t="n">
        <v>85</v>
      </c>
      <c r="F130" s="5" t="n">
        <v>35600</v>
      </c>
      <c r="G130">
        <f>MIN(65-B130, MAX(0, E130-B130))</f>
        <v/>
      </c>
      <c r="H130">
        <f>B130+G130</f>
        <v/>
      </c>
      <c r="I130" s="5">
        <f>F130*(1+D130)^G130</f>
        <v/>
      </c>
      <c r="J130">
        <f>(1+D130)/(1+Parameters!$B$5)</f>
        <v/>
      </c>
      <c r="K130" s="5">
        <f>IF(G130&gt;0, IF(ROUND(J130, 6)=1, G130 * C130 * (1+Parameters!$B$5)^-0.5, C130 * (1-J130^G130)/(1-J130) * (1+Parameters!$B$5)^-0.5), 0)</f>
        <v/>
      </c>
      <c r="L130" s="5">
        <f>K130*(1-Parameters!$B$4)</f>
        <v/>
      </c>
      <c r="M130" s="5">
        <f>L130*(1+Parameters!$B$5)^G130</f>
        <v/>
      </c>
      <c r="N130" s="5">
        <f>IF(E130&gt;=65, (65-B130)*I130/Parameters!$B$6, 0)</f>
        <v/>
      </c>
      <c r="O130">
        <f>IF(E130&gt;65, (1-(1+Parameters!$B$5)^-(E130-65))/Parameters!$B$5, 0)</f>
        <v/>
      </c>
      <c r="P130" s="5">
        <f>N130 * O130 * (1+Parameters!$B$5)^-(65-B130)</f>
        <v/>
      </c>
      <c r="Q130" s="5">
        <f>IF(AND(E130&gt;=66, E130&lt;=69), 5*N130*(1+Parameters!$B$5)^-(E130-B130), 0)</f>
        <v/>
      </c>
      <c r="R130" s="5">
        <f>IF(E130&lt;=65, L130, 0)</f>
        <v/>
      </c>
      <c r="S130" s="5">
        <f>N130 * (Parameters!$B$6 / Parameters!$B$9)</f>
        <v/>
      </c>
      <c r="T130" s="5">
        <f>P130 + Q130</f>
        <v/>
      </c>
      <c r="U130">
        <f>IF(E130&gt;65, (1-((1+Parameters!$B$10)/(1+Parameters!$B$5))^(E130-65))/(((1+Parameters!$B$5)/(1+Parameters!$B$10))-1), 0)</f>
        <v/>
      </c>
      <c r="V130" s="5">
        <f>S130 * U130 * (1+Parameters!$B$5)^-(65-B130)</f>
        <v/>
      </c>
      <c r="W130" s="5">
        <f>IF(AND(E130&gt;=66, E130&lt;=69), 5*S130*(1+Parameters!$B$5)^-(E130-B130), 0)</f>
        <v/>
      </c>
      <c r="X130" s="5">
        <f>V130 + W130 + R130</f>
        <v/>
      </c>
      <c r="Y130" s="5">
        <f>IF(E130&gt;=65, M130/S130, "")</f>
        <v/>
      </c>
    </row>
    <row r="131">
      <c r="A131" t="n">
        <v>130</v>
      </c>
      <c r="B131" t="n">
        <v>35</v>
      </c>
      <c r="C131" s="5" t="n">
        <v>2460</v>
      </c>
      <c r="D131" t="n">
        <v>0.0346</v>
      </c>
      <c r="E131" t="n">
        <v>71</v>
      </c>
      <c r="F131" s="5" t="n">
        <v>24600</v>
      </c>
      <c r="G131">
        <f>MIN(65-B131, MAX(0, E131-B131))</f>
        <v/>
      </c>
      <c r="H131">
        <f>B131+G131</f>
        <v/>
      </c>
      <c r="I131" s="5">
        <f>F131*(1+D131)^G131</f>
        <v/>
      </c>
      <c r="J131">
        <f>(1+D131)/(1+Parameters!$B$5)</f>
        <v/>
      </c>
      <c r="K131" s="5">
        <f>IF(G131&gt;0, IF(ROUND(J131, 6)=1, G131 * C131 * (1+Parameters!$B$5)^-0.5, C131 * (1-J131^G131)/(1-J131) * (1+Parameters!$B$5)^-0.5), 0)</f>
        <v/>
      </c>
      <c r="L131" s="5">
        <f>K131*(1-Parameters!$B$4)</f>
        <v/>
      </c>
      <c r="M131" s="5">
        <f>L131*(1+Parameters!$B$5)^G131</f>
        <v/>
      </c>
      <c r="N131" s="5">
        <f>IF(E131&gt;=65, (65-B131)*I131/Parameters!$B$6, 0)</f>
        <v/>
      </c>
      <c r="O131">
        <f>IF(E131&gt;65, (1-(1+Parameters!$B$5)^-(E131-65))/Parameters!$B$5, 0)</f>
        <v/>
      </c>
      <c r="P131" s="5">
        <f>N131 * O131 * (1+Parameters!$B$5)^-(65-B131)</f>
        <v/>
      </c>
      <c r="Q131" s="5">
        <f>IF(AND(E131&gt;=66, E131&lt;=69), 5*N131*(1+Parameters!$B$5)^-(E131-B131), 0)</f>
        <v/>
      </c>
      <c r="R131" s="5">
        <f>IF(E131&lt;=65, L131, 0)</f>
        <v/>
      </c>
      <c r="S131" s="5">
        <f>N131 * (Parameters!$B$6 / Parameters!$B$9)</f>
        <v/>
      </c>
      <c r="T131" s="5">
        <f>P131 + Q131</f>
        <v/>
      </c>
      <c r="U131">
        <f>IF(E131&gt;65, (1-((1+Parameters!$B$10)/(1+Parameters!$B$5))^(E131-65))/(((1+Parameters!$B$5)/(1+Parameters!$B$10))-1), 0)</f>
        <v/>
      </c>
      <c r="V131" s="5">
        <f>S131 * U131 * (1+Parameters!$B$5)^-(65-B131)</f>
        <v/>
      </c>
      <c r="W131" s="5">
        <f>IF(AND(E131&gt;=66, E131&lt;=69), 5*S131*(1+Parameters!$B$5)^-(E131-B131), 0)</f>
        <v/>
      </c>
      <c r="X131" s="5">
        <f>V131 + W131 + R131</f>
        <v/>
      </c>
      <c r="Y131" s="5">
        <f>IF(E131&gt;=65, M131/S131, "")</f>
        <v/>
      </c>
    </row>
    <row r="132">
      <c r="A132" t="n">
        <v>131</v>
      </c>
      <c r="B132" t="n">
        <v>23</v>
      </c>
      <c r="C132" s="5" t="n">
        <v>2050</v>
      </c>
      <c r="D132" t="n">
        <v>0.026</v>
      </c>
      <c r="E132" t="n">
        <v>77</v>
      </c>
      <c r="F132" s="5" t="n">
        <v>20500</v>
      </c>
      <c r="G132">
        <f>MIN(65-B132, MAX(0, E132-B132))</f>
        <v/>
      </c>
      <c r="H132">
        <f>B132+G132</f>
        <v/>
      </c>
      <c r="I132" s="5">
        <f>F132*(1+D132)^G132</f>
        <v/>
      </c>
      <c r="J132">
        <f>(1+D132)/(1+Parameters!$B$5)</f>
        <v/>
      </c>
      <c r="K132" s="5">
        <f>IF(G132&gt;0, IF(ROUND(J132, 6)=1, G132 * C132 * (1+Parameters!$B$5)^-0.5, C132 * (1-J132^G132)/(1-J132) * (1+Parameters!$B$5)^-0.5), 0)</f>
        <v/>
      </c>
      <c r="L132" s="5">
        <f>K132*(1-Parameters!$B$4)</f>
        <v/>
      </c>
      <c r="M132" s="5">
        <f>L132*(1+Parameters!$B$5)^G132</f>
        <v/>
      </c>
      <c r="N132" s="5">
        <f>IF(E132&gt;=65, (65-B132)*I132/Parameters!$B$6, 0)</f>
        <v/>
      </c>
      <c r="O132">
        <f>IF(E132&gt;65, (1-(1+Parameters!$B$5)^-(E132-65))/Parameters!$B$5, 0)</f>
        <v/>
      </c>
      <c r="P132" s="5">
        <f>N132 * O132 * (1+Parameters!$B$5)^-(65-B132)</f>
        <v/>
      </c>
      <c r="Q132" s="5">
        <f>IF(AND(E132&gt;=66, E132&lt;=69), 5*N132*(1+Parameters!$B$5)^-(E132-B132), 0)</f>
        <v/>
      </c>
      <c r="R132" s="5">
        <f>IF(E132&lt;=65, L132, 0)</f>
        <v/>
      </c>
      <c r="S132" s="5">
        <f>N132 * (Parameters!$B$6 / Parameters!$B$9)</f>
        <v/>
      </c>
      <c r="T132" s="5">
        <f>P132 + Q132</f>
        <v/>
      </c>
      <c r="U132">
        <f>IF(E132&gt;65, (1-((1+Parameters!$B$10)/(1+Parameters!$B$5))^(E132-65))/(((1+Parameters!$B$5)/(1+Parameters!$B$10))-1), 0)</f>
        <v/>
      </c>
      <c r="V132" s="5">
        <f>S132 * U132 * (1+Parameters!$B$5)^-(65-B132)</f>
        <v/>
      </c>
      <c r="W132" s="5">
        <f>IF(AND(E132&gt;=66, E132&lt;=69), 5*S132*(1+Parameters!$B$5)^-(E132-B132), 0)</f>
        <v/>
      </c>
      <c r="X132" s="5">
        <f>V132 + W132 + R132</f>
        <v/>
      </c>
      <c r="Y132" s="5">
        <f>IF(E132&gt;=65, M132/S132, "")</f>
        <v/>
      </c>
    </row>
    <row r="133">
      <c r="A133" t="n">
        <v>132</v>
      </c>
      <c r="B133" t="n">
        <v>50</v>
      </c>
      <c r="C133" s="5" t="n">
        <v>8890</v>
      </c>
      <c r="D133" t="n">
        <v>0.052</v>
      </c>
      <c r="E133" t="n">
        <v>84</v>
      </c>
      <c r="F133" s="5" t="n">
        <v>88900</v>
      </c>
      <c r="G133">
        <f>MIN(65-B133, MAX(0, E133-B133))</f>
        <v/>
      </c>
      <c r="H133">
        <f>B133+G133</f>
        <v/>
      </c>
      <c r="I133" s="5">
        <f>F133*(1+D133)^G133</f>
        <v/>
      </c>
      <c r="J133">
        <f>(1+D133)/(1+Parameters!$B$5)</f>
        <v/>
      </c>
      <c r="K133" s="5">
        <f>IF(G133&gt;0, IF(ROUND(J133, 6)=1, G133 * C133 * (1+Parameters!$B$5)^-0.5, C133 * (1-J133^G133)/(1-J133) * (1+Parameters!$B$5)^-0.5), 0)</f>
        <v/>
      </c>
      <c r="L133" s="5">
        <f>K133*(1-Parameters!$B$4)</f>
        <v/>
      </c>
      <c r="M133" s="5">
        <f>L133*(1+Parameters!$B$5)^G133</f>
        <v/>
      </c>
      <c r="N133" s="5">
        <f>IF(E133&gt;=65, (65-B133)*I133/Parameters!$B$6, 0)</f>
        <v/>
      </c>
      <c r="O133">
        <f>IF(E133&gt;65, (1-(1+Parameters!$B$5)^-(E133-65))/Parameters!$B$5, 0)</f>
        <v/>
      </c>
      <c r="P133" s="5">
        <f>N133 * O133 * (1+Parameters!$B$5)^-(65-B133)</f>
        <v/>
      </c>
      <c r="Q133" s="5">
        <f>IF(AND(E133&gt;=66, E133&lt;=69), 5*N133*(1+Parameters!$B$5)^-(E133-B133), 0)</f>
        <v/>
      </c>
      <c r="R133" s="5">
        <f>IF(E133&lt;=65, L133, 0)</f>
        <v/>
      </c>
      <c r="S133" s="5">
        <f>N133 * (Parameters!$B$6 / Parameters!$B$9)</f>
        <v/>
      </c>
      <c r="T133" s="5">
        <f>P133 + Q133</f>
        <v/>
      </c>
      <c r="U133">
        <f>IF(E133&gt;65, (1-((1+Parameters!$B$10)/(1+Parameters!$B$5))^(E133-65))/(((1+Parameters!$B$5)/(1+Parameters!$B$10))-1), 0)</f>
        <v/>
      </c>
      <c r="V133" s="5">
        <f>S133 * U133 * (1+Parameters!$B$5)^-(65-B133)</f>
        <v/>
      </c>
      <c r="W133" s="5">
        <f>IF(AND(E133&gt;=66, E133&lt;=69), 5*S133*(1+Parameters!$B$5)^-(E133-B133), 0)</f>
        <v/>
      </c>
      <c r="X133" s="5">
        <f>V133 + W133 + R133</f>
        <v/>
      </c>
      <c r="Y133" s="5">
        <f>IF(E133&gt;=65, M133/S133, "")</f>
        <v/>
      </c>
    </row>
    <row r="134">
      <c r="A134" t="n">
        <v>133</v>
      </c>
      <c r="B134" t="n">
        <v>42</v>
      </c>
      <c r="C134" s="5" t="n">
        <v>3000</v>
      </c>
      <c r="D134" t="n">
        <v>0.0261</v>
      </c>
      <c r="E134" t="n">
        <v>89</v>
      </c>
      <c r="F134" s="5" t="n">
        <v>30000</v>
      </c>
      <c r="G134">
        <f>MIN(65-B134, MAX(0, E134-B134))</f>
        <v/>
      </c>
      <c r="H134">
        <f>B134+G134</f>
        <v/>
      </c>
      <c r="I134" s="5">
        <f>F134*(1+D134)^G134</f>
        <v/>
      </c>
      <c r="J134">
        <f>(1+D134)/(1+Parameters!$B$5)</f>
        <v/>
      </c>
      <c r="K134" s="5">
        <f>IF(G134&gt;0, IF(ROUND(J134, 6)=1, G134 * C134 * (1+Parameters!$B$5)^-0.5, C134 * (1-J134^G134)/(1-J134) * (1+Parameters!$B$5)^-0.5), 0)</f>
        <v/>
      </c>
      <c r="L134" s="5">
        <f>K134*(1-Parameters!$B$4)</f>
        <v/>
      </c>
      <c r="M134" s="5">
        <f>L134*(1+Parameters!$B$5)^G134</f>
        <v/>
      </c>
      <c r="N134" s="5">
        <f>IF(E134&gt;=65, (65-B134)*I134/Parameters!$B$6, 0)</f>
        <v/>
      </c>
      <c r="O134">
        <f>IF(E134&gt;65, (1-(1+Parameters!$B$5)^-(E134-65))/Parameters!$B$5, 0)</f>
        <v/>
      </c>
      <c r="P134" s="5">
        <f>N134 * O134 * (1+Parameters!$B$5)^-(65-B134)</f>
        <v/>
      </c>
      <c r="Q134" s="5">
        <f>IF(AND(E134&gt;=66, E134&lt;=69), 5*N134*(1+Parameters!$B$5)^-(E134-B134), 0)</f>
        <v/>
      </c>
      <c r="R134" s="5">
        <f>IF(E134&lt;=65, L134, 0)</f>
        <v/>
      </c>
      <c r="S134" s="5">
        <f>N134 * (Parameters!$B$6 / Parameters!$B$9)</f>
        <v/>
      </c>
      <c r="T134" s="5">
        <f>P134 + Q134</f>
        <v/>
      </c>
      <c r="U134">
        <f>IF(E134&gt;65, (1-((1+Parameters!$B$10)/(1+Parameters!$B$5))^(E134-65))/(((1+Parameters!$B$5)/(1+Parameters!$B$10))-1), 0)</f>
        <v/>
      </c>
      <c r="V134" s="5">
        <f>S134 * U134 * (1+Parameters!$B$5)^-(65-B134)</f>
        <v/>
      </c>
      <c r="W134" s="5">
        <f>IF(AND(E134&gt;=66, E134&lt;=69), 5*S134*(1+Parameters!$B$5)^-(E134-B134), 0)</f>
        <v/>
      </c>
      <c r="X134" s="5">
        <f>V134 + W134 + R134</f>
        <v/>
      </c>
      <c r="Y134" s="5">
        <f>IF(E134&gt;=65, M134/S134, "")</f>
        <v/>
      </c>
    </row>
    <row r="135">
      <c r="A135" t="n">
        <v>134</v>
      </c>
      <c r="B135" t="n">
        <v>46</v>
      </c>
      <c r="C135" s="5" t="n">
        <v>1230</v>
      </c>
      <c r="D135" t="n">
        <v>0.0076</v>
      </c>
      <c r="E135" t="n">
        <v>77</v>
      </c>
      <c r="F135" s="5" t="n">
        <v>12300</v>
      </c>
      <c r="G135">
        <f>MIN(65-B135, MAX(0, E135-B135))</f>
        <v/>
      </c>
      <c r="H135">
        <f>B135+G135</f>
        <v/>
      </c>
      <c r="I135" s="5">
        <f>F135*(1+D135)^G135</f>
        <v/>
      </c>
      <c r="J135">
        <f>(1+D135)/(1+Parameters!$B$5)</f>
        <v/>
      </c>
      <c r="K135" s="5">
        <f>IF(G135&gt;0, IF(ROUND(J135, 6)=1, G135 * C135 * (1+Parameters!$B$5)^-0.5, C135 * (1-J135^G135)/(1-J135) * (1+Parameters!$B$5)^-0.5), 0)</f>
        <v/>
      </c>
      <c r="L135" s="5">
        <f>K135*(1-Parameters!$B$4)</f>
        <v/>
      </c>
      <c r="M135" s="5">
        <f>L135*(1+Parameters!$B$5)^G135</f>
        <v/>
      </c>
      <c r="N135" s="5">
        <f>IF(E135&gt;=65, (65-B135)*I135/Parameters!$B$6, 0)</f>
        <v/>
      </c>
      <c r="O135">
        <f>IF(E135&gt;65, (1-(1+Parameters!$B$5)^-(E135-65))/Parameters!$B$5, 0)</f>
        <v/>
      </c>
      <c r="P135" s="5">
        <f>N135 * O135 * (1+Parameters!$B$5)^-(65-B135)</f>
        <v/>
      </c>
      <c r="Q135" s="5">
        <f>IF(AND(E135&gt;=66, E135&lt;=69), 5*N135*(1+Parameters!$B$5)^-(E135-B135), 0)</f>
        <v/>
      </c>
      <c r="R135" s="5">
        <f>IF(E135&lt;=65, L135, 0)</f>
        <v/>
      </c>
      <c r="S135" s="5">
        <f>N135 * (Parameters!$B$6 / Parameters!$B$9)</f>
        <v/>
      </c>
      <c r="T135" s="5">
        <f>P135 + Q135</f>
        <v/>
      </c>
      <c r="U135">
        <f>IF(E135&gt;65, (1-((1+Parameters!$B$10)/(1+Parameters!$B$5))^(E135-65))/(((1+Parameters!$B$5)/(1+Parameters!$B$10))-1), 0)</f>
        <v/>
      </c>
      <c r="V135" s="5">
        <f>S135 * U135 * (1+Parameters!$B$5)^-(65-B135)</f>
        <v/>
      </c>
      <c r="W135" s="5">
        <f>IF(AND(E135&gt;=66, E135&lt;=69), 5*S135*(1+Parameters!$B$5)^-(E135-B135), 0)</f>
        <v/>
      </c>
      <c r="X135" s="5">
        <f>V135 + W135 + R135</f>
        <v/>
      </c>
      <c r="Y135" s="5">
        <f>IF(E135&gt;=65, M135/S135, "")</f>
        <v/>
      </c>
    </row>
    <row r="136">
      <c r="A136" t="n">
        <v>135</v>
      </c>
      <c r="B136" t="n">
        <v>45</v>
      </c>
      <c r="C136" s="5" t="n">
        <v>1180</v>
      </c>
      <c r="D136" t="n">
        <v>0.0494</v>
      </c>
      <c r="E136" t="n">
        <v>87</v>
      </c>
      <c r="F136" s="5" t="n">
        <v>11800</v>
      </c>
      <c r="G136">
        <f>MIN(65-B136, MAX(0, E136-B136))</f>
        <v/>
      </c>
      <c r="H136">
        <f>B136+G136</f>
        <v/>
      </c>
      <c r="I136" s="5">
        <f>F136*(1+D136)^G136</f>
        <v/>
      </c>
      <c r="J136">
        <f>(1+D136)/(1+Parameters!$B$5)</f>
        <v/>
      </c>
      <c r="K136" s="5">
        <f>IF(G136&gt;0, IF(ROUND(J136, 6)=1, G136 * C136 * (1+Parameters!$B$5)^-0.5, C136 * (1-J136^G136)/(1-J136) * (1+Parameters!$B$5)^-0.5), 0)</f>
        <v/>
      </c>
      <c r="L136" s="5">
        <f>K136*(1-Parameters!$B$4)</f>
        <v/>
      </c>
      <c r="M136" s="5">
        <f>L136*(1+Parameters!$B$5)^G136</f>
        <v/>
      </c>
      <c r="N136" s="5">
        <f>IF(E136&gt;=65, (65-B136)*I136/Parameters!$B$6, 0)</f>
        <v/>
      </c>
      <c r="O136">
        <f>IF(E136&gt;65, (1-(1+Parameters!$B$5)^-(E136-65))/Parameters!$B$5, 0)</f>
        <v/>
      </c>
      <c r="P136" s="5">
        <f>N136 * O136 * (1+Parameters!$B$5)^-(65-B136)</f>
        <v/>
      </c>
      <c r="Q136" s="5">
        <f>IF(AND(E136&gt;=66, E136&lt;=69), 5*N136*(1+Parameters!$B$5)^-(E136-B136), 0)</f>
        <v/>
      </c>
      <c r="R136" s="5">
        <f>IF(E136&lt;=65, L136, 0)</f>
        <v/>
      </c>
      <c r="S136" s="5">
        <f>N136 * (Parameters!$B$6 / Parameters!$B$9)</f>
        <v/>
      </c>
      <c r="T136" s="5">
        <f>P136 + Q136</f>
        <v/>
      </c>
      <c r="U136">
        <f>IF(E136&gt;65, (1-((1+Parameters!$B$10)/(1+Parameters!$B$5))^(E136-65))/(((1+Parameters!$B$5)/(1+Parameters!$B$10))-1), 0)</f>
        <v/>
      </c>
      <c r="V136" s="5">
        <f>S136 * U136 * (1+Parameters!$B$5)^-(65-B136)</f>
        <v/>
      </c>
      <c r="W136" s="5">
        <f>IF(AND(E136&gt;=66, E136&lt;=69), 5*S136*(1+Parameters!$B$5)^-(E136-B136), 0)</f>
        <v/>
      </c>
      <c r="X136" s="5">
        <f>V136 + W136 + R136</f>
        <v/>
      </c>
      <c r="Y136" s="5">
        <f>IF(E136&gt;=65, M136/S136, "")</f>
        <v/>
      </c>
    </row>
    <row r="137">
      <c r="A137" t="n">
        <v>136</v>
      </c>
      <c r="B137" t="n">
        <v>26</v>
      </c>
      <c r="C137" s="5" t="n">
        <v>5490</v>
      </c>
      <c r="D137" t="n">
        <v>0.0448</v>
      </c>
      <c r="E137" t="n">
        <v>87</v>
      </c>
      <c r="F137" s="5" t="n">
        <v>54900</v>
      </c>
      <c r="G137">
        <f>MIN(65-B137, MAX(0, E137-B137))</f>
        <v/>
      </c>
      <c r="H137">
        <f>B137+G137</f>
        <v/>
      </c>
      <c r="I137" s="5">
        <f>F137*(1+D137)^G137</f>
        <v/>
      </c>
      <c r="J137">
        <f>(1+D137)/(1+Parameters!$B$5)</f>
        <v/>
      </c>
      <c r="K137" s="5">
        <f>IF(G137&gt;0, IF(ROUND(J137, 6)=1, G137 * C137 * (1+Parameters!$B$5)^-0.5, C137 * (1-J137^G137)/(1-J137) * (1+Parameters!$B$5)^-0.5), 0)</f>
        <v/>
      </c>
      <c r="L137" s="5">
        <f>K137*(1-Parameters!$B$4)</f>
        <v/>
      </c>
      <c r="M137" s="5">
        <f>L137*(1+Parameters!$B$5)^G137</f>
        <v/>
      </c>
      <c r="N137" s="5">
        <f>IF(E137&gt;=65, (65-B137)*I137/Parameters!$B$6, 0)</f>
        <v/>
      </c>
      <c r="O137">
        <f>IF(E137&gt;65, (1-(1+Parameters!$B$5)^-(E137-65))/Parameters!$B$5, 0)</f>
        <v/>
      </c>
      <c r="P137" s="5">
        <f>N137 * O137 * (1+Parameters!$B$5)^-(65-B137)</f>
        <v/>
      </c>
      <c r="Q137" s="5">
        <f>IF(AND(E137&gt;=66, E137&lt;=69), 5*N137*(1+Parameters!$B$5)^-(E137-B137), 0)</f>
        <v/>
      </c>
      <c r="R137" s="5">
        <f>IF(E137&lt;=65, L137, 0)</f>
        <v/>
      </c>
      <c r="S137" s="5">
        <f>N137 * (Parameters!$B$6 / Parameters!$B$9)</f>
        <v/>
      </c>
      <c r="T137" s="5">
        <f>P137 + Q137</f>
        <v/>
      </c>
      <c r="U137">
        <f>IF(E137&gt;65, (1-((1+Parameters!$B$10)/(1+Parameters!$B$5))^(E137-65))/(((1+Parameters!$B$5)/(1+Parameters!$B$10))-1), 0)</f>
        <v/>
      </c>
      <c r="V137" s="5">
        <f>S137 * U137 * (1+Parameters!$B$5)^-(65-B137)</f>
        <v/>
      </c>
      <c r="W137" s="5">
        <f>IF(AND(E137&gt;=66, E137&lt;=69), 5*S137*(1+Parameters!$B$5)^-(E137-B137), 0)</f>
        <v/>
      </c>
      <c r="X137" s="5">
        <f>V137 + W137 + R137</f>
        <v/>
      </c>
      <c r="Y137" s="5">
        <f>IF(E137&gt;=65, M137/S137, "")</f>
        <v/>
      </c>
    </row>
    <row r="138">
      <c r="A138" t="n">
        <v>137</v>
      </c>
      <c r="B138" t="n">
        <v>38</v>
      </c>
      <c r="C138" s="5" t="n">
        <v>3950</v>
      </c>
      <c r="D138" t="n">
        <v>0.0499</v>
      </c>
      <c r="E138" t="n">
        <v>81</v>
      </c>
      <c r="F138" s="5" t="n">
        <v>39500</v>
      </c>
      <c r="G138">
        <f>MIN(65-B138, MAX(0, E138-B138))</f>
        <v/>
      </c>
      <c r="H138">
        <f>B138+G138</f>
        <v/>
      </c>
      <c r="I138" s="5">
        <f>F138*(1+D138)^G138</f>
        <v/>
      </c>
      <c r="J138">
        <f>(1+D138)/(1+Parameters!$B$5)</f>
        <v/>
      </c>
      <c r="K138" s="5">
        <f>IF(G138&gt;0, IF(ROUND(J138, 6)=1, G138 * C138 * (1+Parameters!$B$5)^-0.5, C138 * (1-J138^G138)/(1-J138) * (1+Parameters!$B$5)^-0.5), 0)</f>
        <v/>
      </c>
      <c r="L138" s="5">
        <f>K138*(1-Parameters!$B$4)</f>
        <v/>
      </c>
      <c r="M138" s="5">
        <f>L138*(1+Parameters!$B$5)^G138</f>
        <v/>
      </c>
      <c r="N138" s="5">
        <f>IF(E138&gt;=65, (65-B138)*I138/Parameters!$B$6, 0)</f>
        <v/>
      </c>
      <c r="O138">
        <f>IF(E138&gt;65, (1-(1+Parameters!$B$5)^-(E138-65))/Parameters!$B$5, 0)</f>
        <v/>
      </c>
      <c r="P138" s="5">
        <f>N138 * O138 * (1+Parameters!$B$5)^-(65-B138)</f>
        <v/>
      </c>
      <c r="Q138" s="5">
        <f>IF(AND(E138&gt;=66, E138&lt;=69), 5*N138*(1+Parameters!$B$5)^-(E138-B138), 0)</f>
        <v/>
      </c>
      <c r="R138" s="5">
        <f>IF(E138&lt;=65, L138, 0)</f>
        <v/>
      </c>
      <c r="S138" s="5">
        <f>N138 * (Parameters!$B$6 / Parameters!$B$9)</f>
        <v/>
      </c>
      <c r="T138" s="5">
        <f>P138 + Q138</f>
        <v/>
      </c>
      <c r="U138">
        <f>IF(E138&gt;65, (1-((1+Parameters!$B$10)/(1+Parameters!$B$5))^(E138-65))/(((1+Parameters!$B$5)/(1+Parameters!$B$10))-1), 0)</f>
        <v/>
      </c>
      <c r="V138" s="5">
        <f>S138 * U138 * (1+Parameters!$B$5)^-(65-B138)</f>
        <v/>
      </c>
      <c r="W138" s="5">
        <f>IF(AND(E138&gt;=66, E138&lt;=69), 5*S138*(1+Parameters!$B$5)^-(E138-B138), 0)</f>
        <v/>
      </c>
      <c r="X138" s="5">
        <f>V138 + W138 + R138</f>
        <v/>
      </c>
      <c r="Y138" s="5">
        <f>IF(E138&gt;=65, M138/S138, "")</f>
        <v/>
      </c>
    </row>
    <row r="139">
      <c r="A139" t="n">
        <v>138</v>
      </c>
      <c r="B139" t="n">
        <v>35</v>
      </c>
      <c r="C139" s="5" t="n">
        <v>7490</v>
      </c>
      <c r="D139" t="n">
        <v>0.0392</v>
      </c>
      <c r="E139" t="n">
        <v>75</v>
      </c>
      <c r="F139" s="5" t="n">
        <v>74900</v>
      </c>
      <c r="G139">
        <f>MIN(65-B139, MAX(0, E139-B139))</f>
        <v/>
      </c>
      <c r="H139">
        <f>B139+G139</f>
        <v/>
      </c>
      <c r="I139" s="5">
        <f>F139*(1+D139)^G139</f>
        <v/>
      </c>
      <c r="J139">
        <f>(1+D139)/(1+Parameters!$B$5)</f>
        <v/>
      </c>
      <c r="K139" s="5">
        <f>IF(G139&gt;0, IF(ROUND(J139, 6)=1, G139 * C139 * (1+Parameters!$B$5)^-0.5, C139 * (1-J139^G139)/(1-J139) * (1+Parameters!$B$5)^-0.5), 0)</f>
        <v/>
      </c>
      <c r="L139" s="5">
        <f>K139*(1-Parameters!$B$4)</f>
        <v/>
      </c>
      <c r="M139" s="5">
        <f>L139*(1+Parameters!$B$5)^G139</f>
        <v/>
      </c>
      <c r="N139" s="5">
        <f>IF(E139&gt;=65, (65-B139)*I139/Parameters!$B$6, 0)</f>
        <v/>
      </c>
      <c r="O139">
        <f>IF(E139&gt;65, (1-(1+Parameters!$B$5)^-(E139-65))/Parameters!$B$5, 0)</f>
        <v/>
      </c>
      <c r="P139" s="5">
        <f>N139 * O139 * (1+Parameters!$B$5)^-(65-B139)</f>
        <v/>
      </c>
      <c r="Q139" s="5">
        <f>IF(AND(E139&gt;=66, E139&lt;=69), 5*N139*(1+Parameters!$B$5)^-(E139-B139), 0)</f>
        <v/>
      </c>
      <c r="R139" s="5">
        <f>IF(E139&lt;=65, L139, 0)</f>
        <v/>
      </c>
      <c r="S139" s="5">
        <f>N139 * (Parameters!$B$6 / Parameters!$B$9)</f>
        <v/>
      </c>
      <c r="T139" s="5">
        <f>P139 + Q139</f>
        <v/>
      </c>
      <c r="U139">
        <f>IF(E139&gt;65, (1-((1+Parameters!$B$10)/(1+Parameters!$B$5))^(E139-65))/(((1+Parameters!$B$5)/(1+Parameters!$B$10))-1), 0)</f>
        <v/>
      </c>
      <c r="V139" s="5">
        <f>S139 * U139 * (1+Parameters!$B$5)^-(65-B139)</f>
        <v/>
      </c>
      <c r="W139" s="5">
        <f>IF(AND(E139&gt;=66, E139&lt;=69), 5*S139*(1+Parameters!$B$5)^-(E139-B139), 0)</f>
        <v/>
      </c>
      <c r="X139" s="5">
        <f>V139 + W139 + R139</f>
        <v/>
      </c>
      <c r="Y139" s="5">
        <f>IF(E139&gt;=65, M139/S139, "")</f>
        <v/>
      </c>
    </row>
    <row r="140">
      <c r="A140" t="n">
        <v>139</v>
      </c>
      <c r="B140" t="n">
        <v>32</v>
      </c>
      <c r="C140" s="5" t="n">
        <v>2640</v>
      </c>
      <c r="D140" t="n">
        <v>0.0437</v>
      </c>
      <c r="E140" t="n">
        <v>77</v>
      </c>
      <c r="F140" s="5" t="n">
        <v>26400</v>
      </c>
      <c r="G140">
        <f>MIN(65-B140, MAX(0, E140-B140))</f>
        <v/>
      </c>
      <c r="H140">
        <f>B140+G140</f>
        <v/>
      </c>
      <c r="I140" s="5">
        <f>F140*(1+D140)^G140</f>
        <v/>
      </c>
      <c r="J140">
        <f>(1+D140)/(1+Parameters!$B$5)</f>
        <v/>
      </c>
      <c r="K140" s="5">
        <f>IF(G140&gt;0, IF(ROUND(J140, 6)=1, G140 * C140 * (1+Parameters!$B$5)^-0.5, C140 * (1-J140^G140)/(1-J140) * (1+Parameters!$B$5)^-0.5), 0)</f>
        <v/>
      </c>
      <c r="L140" s="5">
        <f>K140*(1-Parameters!$B$4)</f>
        <v/>
      </c>
      <c r="M140" s="5">
        <f>L140*(1+Parameters!$B$5)^G140</f>
        <v/>
      </c>
      <c r="N140" s="5">
        <f>IF(E140&gt;=65, (65-B140)*I140/Parameters!$B$6, 0)</f>
        <v/>
      </c>
      <c r="O140">
        <f>IF(E140&gt;65, (1-(1+Parameters!$B$5)^-(E140-65))/Parameters!$B$5, 0)</f>
        <v/>
      </c>
      <c r="P140" s="5">
        <f>N140 * O140 * (1+Parameters!$B$5)^-(65-B140)</f>
        <v/>
      </c>
      <c r="Q140" s="5">
        <f>IF(AND(E140&gt;=66, E140&lt;=69), 5*N140*(1+Parameters!$B$5)^-(E140-B140), 0)</f>
        <v/>
      </c>
      <c r="R140" s="5">
        <f>IF(E140&lt;=65, L140, 0)</f>
        <v/>
      </c>
      <c r="S140" s="5">
        <f>N140 * (Parameters!$B$6 / Parameters!$B$9)</f>
        <v/>
      </c>
      <c r="T140" s="5">
        <f>P140 + Q140</f>
        <v/>
      </c>
      <c r="U140">
        <f>IF(E140&gt;65, (1-((1+Parameters!$B$10)/(1+Parameters!$B$5))^(E140-65))/(((1+Parameters!$B$5)/(1+Parameters!$B$10))-1), 0)</f>
        <v/>
      </c>
      <c r="V140" s="5">
        <f>S140 * U140 * (1+Parameters!$B$5)^-(65-B140)</f>
        <v/>
      </c>
      <c r="W140" s="5">
        <f>IF(AND(E140&gt;=66, E140&lt;=69), 5*S140*(1+Parameters!$B$5)^-(E140-B140), 0)</f>
        <v/>
      </c>
      <c r="X140" s="5">
        <f>V140 + W140 + R140</f>
        <v/>
      </c>
      <c r="Y140" s="5">
        <f>IF(E140&gt;=65, M140/S140, "")</f>
        <v/>
      </c>
    </row>
    <row r="141">
      <c r="A141" t="n">
        <v>140</v>
      </c>
      <c r="B141" t="n">
        <v>38</v>
      </c>
      <c r="C141" s="5" t="n">
        <v>7040</v>
      </c>
      <c r="D141" t="n">
        <v>0.0092</v>
      </c>
      <c r="E141" t="n">
        <v>69</v>
      </c>
      <c r="F141" s="5" t="n">
        <v>70400</v>
      </c>
      <c r="G141">
        <f>MIN(65-B141, MAX(0, E141-B141))</f>
        <v/>
      </c>
      <c r="H141">
        <f>B141+G141</f>
        <v/>
      </c>
      <c r="I141" s="5">
        <f>F141*(1+D141)^G141</f>
        <v/>
      </c>
      <c r="J141">
        <f>(1+D141)/(1+Parameters!$B$5)</f>
        <v/>
      </c>
      <c r="K141" s="5">
        <f>IF(G141&gt;0, IF(ROUND(J141, 6)=1, G141 * C141 * (1+Parameters!$B$5)^-0.5, C141 * (1-J141^G141)/(1-J141) * (1+Parameters!$B$5)^-0.5), 0)</f>
        <v/>
      </c>
      <c r="L141" s="5">
        <f>K141*(1-Parameters!$B$4)</f>
        <v/>
      </c>
      <c r="M141" s="5">
        <f>L141*(1+Parameters!$B$5)^G141</f>
        <v/>
      </c>
      <c r="N141" s="5">
        <f>IF(E141&gt;=65, (65-B141)*I141/Parameters!$B$6, 0)</f>
        <v/>
      </c>
      <c r="O141">
        <f>IF(E141&gt;65, (1-(1+Parameters!$B$5)^-(E141-65))/Parameters!$B$5, 0)</f>
        <v/>
      </c>
      <c r="P141" s="5">
        <f>N141 * O141 * (1+Parameters!$B$5)^-(65-B141)</f>
        <v/>
      </c>
      <c r="Q141" s="5">
        <f>IF(AND(E141&gt;=66, E141&lt;=69), 5*N141*(1+Parameters!$B$5)^-(E141-B141), 0)</f>
        <v/>
      </c>
      <c r="R141" s="5">
        <f>IF(E141&lt;=65, L141, 0)</f>
        <v/>
      </c>
      <c r="S141" s="5">
        <f>N141 * (Parameters!$B$6 / Parameters!$B$9)</f>
        <v/>
      </c>
      <c r="T141" s="5">
        <f>P141 + Q141</f>
        <v/>
      </c>
      <c r="U141">
        <f>IF(E141&gt;65, (1-((1+Parameters!$B$10)/(1+Parameters!$B$5))^(E141-65))/(((1+Parameters!$B$5)/(1+Parameters!$B$10))-1), 0)</f>
        <v/>
      </c>
      <c r="V141" s="5">
        <f>S141 * U141 * (1+Parameters!$B$5)^-(65-B141)</f>
        <v/>
      </c>
      <c r="W141" s="5">
        <f>IF(AND(E141&gt;=66, E141&lt;=69), 5*S141*(1+Parameters!$B$5)^-(E141-B141), 0)</f>
        <v/>
      </c>
      <c r="X141" s="5">
        <f>V141 + W141 + R141</f>
        <v/>
      </c>
      <c r="Y141" s="5">
        <f>IF(E141&gt;=65, M141/S141, "")</f>
        <v/>
      </c>
    </row>
    <row r="142">
      <c r="A142" t="n">
        <v>141</v>
      </c>
      <c r="B142" t="n">
        <v>25</v>
      </c>
      <c r="C142" s="5" t="n">
        <v>2290</v>
      </c>
      <c r="D142" t="n">
        <v>0.0408</v>
      </c>
      <c r="E142" t="n">
        <v>86</v>
      </c>
      <c r="F142" s="5" t="n">
        <v>22900</v>
      </c>
      <c r="G142">
        <f>MIN(65-B142, MAX(0, E142-B142))</f>
        <v/>
      </c>
      <c r="H142">
        <f>B142+G142</f>
        <v/>
      </c>
      <c r="I142" s="5">
        <f>F142*(1+D142)^G142</f>
        <v/>
      </c>
      <c r="J142">
        <f>(1+D142)/(1+Parameters!$B$5)</f>
        <v/>
      </c>
      <c r="K142" s="5">
        <f>IF(G142&gt;0, IF(ROUND(J142, 6)=1, G142 * C142 * (1+Parameters!$B$5)^-0.5, C142 * (1-J142^G142)/(1-J142) * (1+Parameters!$B$5)^-0.5), 0)</f>
        <v/>
      </c>
      <c r="L142" s="5">
        <f>K142*(1-Parameters!$B$4)</f>
        <v/>
      </c>
      <c r="M142" s="5">
        <f>L142*(1+Parameters!$B$5)^G142</f>
        <v/>
      </c>
      <c r="N142" s="5">
        <f>IF(E142&gt;=65, (65-B142)*I142/Parameters!$B$6, 0)</f>
        <v/>
      </c>
      <c r="O142">
        <f>IF(E142&gt;65, (1-(1+Parameters!$B$5)^-(E142-65))/Parameters!$B$5, 0)</f>
        <v/>
      </c>
      <c r="P142" s="5">
        <f>N142 * O142 * (1+Parameters!$B$5)^-(65-B142)</f>
        <v/>
      </c>
      <c r="Q142" s="5">
        <f>IF(AND(E142&gt;=66, E142&lt;=69), 5*N142*(1+Parameters!$B$5)^-(E142-B142), 0)</f>
        <v/>
      </c>
      <c r="R142" s="5">
        <f>IF(E142&lt;=65, L142, 0)</f>
        <v/>
      </c>
      <c r="S142" s="5">
        <f>N142 * (Parameters!$B$6 / Parameters!$B$9)</f>
        <v/>
      </c>
      <c r="T142" s="5">
        <f>P142 + Q142</f>
        <v/>
      </c>
      <c r="U142">
        <f>IF(E142&gt;65, (1-((1+Parameters!$B$10)/(1+Parameters!$B$5))^(E142-65))/(((1+Parameters!$B$5)/(1+Parameters!$B$10))-1), 0)</f>
        <v/>
      </c>
      <c r="V142" s="5">
        <f>S142 * U142 * (1+Parameters!$B$5)^-(65-B142)</f>
        <v/>
      </c>
      <c r="W142" s="5">
        <f>IF(AND(E142&gt;=66, E142&lt;=69), 5*S142*(1+Parameters!$B$5)^-(E142-B142), 0)</f>
        <v/>
      </c>
      <c r="X142" s="5">
        <f>V142 + W142 + R142</f>
        <v/>
      </c>
      <c r="Y142" s="5">
        <f>IF(E142&gt;=65, M142/S142, "")</f>
        <v/>
      </c>
    </row>
    <row r="143">
      <c r="A143" t="n">
        <v>142</v>
      </c>
      <c r="B143" t="n">
        <v>39</v>
      </c>
      <c r="C143" s="5" t="n">
        <v>2160</v>
      </c>
      <c r="D143" t="n">
        <v>0.0264</v>
      </c>
      <c r="E143" t="n">
        <v>85</v>
      </c>
      <c r="F143" s="5" t="n">
        <v>21600</v>
      </c>
      <c r="G143">
        <f>MIN(65-B143, MAX(0, E143-B143))</f>
        <v/>
      </c>
      <c r="H143">
        <f>B143+G143</f>
        <v/>
      </c>
      <c r="I143" s="5">
        <f>F143*(1+D143)^G143</f>
        <v/>
      </c>
      <c r="J143">
        <f>(1+D143)/(1+Parameters!$B$5)</f>
        <v/>
      </c>
      <c r="K143" s="5">
        <f>IF(G143&gt;0, IF(ROUND(J143, 6)=1, G143 * C143 * (1+Parameters!$B$5)^-0.5, C143 * (1-J143^G143)/(1-J143) * (1+Parameters!$B$5)^-0.5), 0)</f>
        <v/>
      </c>
      <c r="L143" s="5">
        <f>K143*(1-Parameters!$B$4)</f>
        <v/>
      </c>
      <c r="M143" s="5">
        <f>L143*(1+Parameters!$B$5)^G143</f>
        <v/>
      </c>
      <c r="N143" s="5">
        <f>IF(E143&gt;=65, (65-B143)*I143/Parameters!$B$6, 0)</f>
        <v/>
      </c>
      <c r="O143">
        <f>IF(E143&gt;65, (1-(1+Parameters!$B$5)^-(E143-65))/Parameters!$B$5, 0)</f>
        <v/>
      </c>
      <c r="P143" s="5">
        <f>N143 * O143 * (1+Parameters!$B$5)^-(65-B143)</f>
        <v/>
      </c>
      <c r="Q143" s="5">
        <f>IF(AND(E143&gt;=66, E143&lt;=69), 5*N143*(1+Parameters!$B$5)^-(E143-B143), 0)</f>
        <v/>
      </c>
      <c r="R143" s="5">
        <f>IF(E143&lt;=65, L143, 0)</f>
        <v/>
      </c>
      <c r="S143" s="5">
        <f>N143 * (Parameters!$B$6 / Parameters!$B$9)</f>
        <v/>
      </c>
      <c r="T143" s="5">
        <f>P143 + Q143</f>
        <v/>
      </c>
      <c r="U143">
        <f>IF(E143&gt;65, (1-((1+Parameters!$B$10)/(1+Parameters!$B$5))^(E143-65))/(((1+Parameters!$B$5)/(1+Parameters!$B$10))-1), 0)</f>
        <v/>
      </c>
      <c r="V143" s="5">
        <f>S143 * U143 * (1+Parameters!$B$5)^-(65-B143)</f>
        <v/>
      </c>
      <c r="W143" s="5">
        <f>IF(AND(E143&gt;=66, E143&lt;=69), 5*S143*(1+Parameters!$B$5)^-(E143-B143), 0)</f>
        <v/>
      </c>
      <c r="X143" s="5">
        <f>V143 + W143 + R143</f>
        <v/>
      </c>
      <c r="Y143" s="5">
        <f>IF(E143&gt;=65, M143/S143, "")</f>
        <v/>
      </c>
    </row>
    <row r="144">
      <c r="A144" t="n">
        <v>143</v>
      </c>
      <c r="B144" t="n">
        <v>38</v>
      </c>
      <c r="C144" s="5" t="n">
        <v>7450</v>
      </c>
      <c r="D144" t="n">
        <v>0.0068</v>
      </c>
      <c r="E144" t="n">
        <v>85</v>
      </c>
      <c r="F144" s="5" t="n">
        <v>74500</v>
      </c>
      <c r="G144">
        <f>MIN(65-B144, MAX(0, E144-B144))</f>
        <v/>
      </c>
      <c r="H144">
        <f>B144+G144</f>
        <v/>
      </c>
      <c r="I144" s="5">
        <f>F144*(1+D144)^G144</f>
        <v/>
      </c>
      <c r="J144">
        <f>(1+D144)/(1+Parameters!$B$5)</f>
        <v/>
      </c>
      <c r="K144" s="5">
        <f>IF(G144&gt;0, IF(ROUND(J144, 6)=1, G144 * C144 * (1+Parameters!$B$5)^-0.5, C144 * (1-J144^G144)/(1-J144) * (1+Parameters!$B$5)^-0.5), 0)</f>
        <v/>
      </c>
      <c r="L144" s="5">
        <f>K144*(1-Parameters!$B$4)</f>
        <v/>
      </c>
      <c r="M144" s="5">
        <f>L144*(1+Parameters!$B$5)^G144</f>
        <v/>
      </c>
      <c r="N144" s="5">
        <f>IF(E144&gt;=65, (65-B144)*I144/Parameters!$B$6, 0)</f>
        <v/>
      </c>
      <c r="O144">
        <f>IF(E144&gt;65, (1-(1+Parameters!$B$5)^-(E144-65))/Parameters!$B$5, 0)</f>
        <v/>
      </c>
      <c r="P144" s="5">
        <f>N144 * O144 * (1+Parameters!$B$5)^-(65-B144)</f>
        <v/>
      </c>
      <c r="Q144" s="5">
        <f>IF(AND(E144&gt;=66, E144&lt;=69), 5*N144*(1+Parameters!$B$5)^-(E144-B144), 0)</f>
        <v/>
      </c>
      <c r="R144" s="5">
        <f>IF(E144&lt;=65, L144, 0)</f>
        <v/>
      </c>
      <c r="S144" s="5">
        <f>N144 * (Parameters!$B$6 / Parameters!$B$9)</f>
        <v/>
      </c>
      <c r="T144" s="5">
        <f>P144 + Q144</f>
        <v/>
      </c>
      <c r="U144">
        <f>IF(E144&gt;65, (1-((1+Parameters!$B$10)/(1+Parameters!$B$5))^(E144-65))/(((1+Parameters!$B$5)/(1+Parameters!$B$10))-1), 0)</f>
        <v/>
      </c>
      <c r="V144" s="5">
        <f>S144 * U144 * (1+Parameters!$B$5)^-(65-B144)</f>
        <v/>
      </c>
      <c r="W144" s="5">
        <f>IF(AND(E144&gt;=66, E144&lt;=69), 5*S144*(1+Parameters!$B$5)^-(E144-B144), 0)</f>
        <v/>
      </c>
      <c r="X144" s="5">
        <f>V144 + W144 + R144</f>
        <v/>
      </c>
      <c r="Y144" s="5">
        <f>IF(E144&gt;=65, M144/S144, "")</f>
        <v/>
      </c>
    </row>
    <row r="145">
      <c r="A145" t="n">
        <v>144</v>
      </c>
      <c r="B145" t="n">
        <v>21</v>
      </c>
      <c r="C145" s="5" t="n">
        <v>1440</v>
      </c>
      <c r="D145" t="n">
        <v>0.0089</v>
      </c>
      <c r="E145" t="n">
        <v>77</v>
      </c>
      <c r="F145" s="5" t="n">
        <v>14400</v>
      </c>
      <c r="G145">
        <f>MIN(65-B145, MAX(0, E145-B145))</f>
        <v/>
      </c>
      <c r="H145">
        <f>B145+G145</f>
        <v/>
      </c>
      <c r="I145" s="5">
        <f>F145*(1+D145)^G145</f>
        <v/>
      </c>
      <c r="J145">
        <f>(1+D145)/(1+Parameters!$B$5)</f>
        <v/>
      </c>
      <c r="K145" s="5">
        <f>IF(G145&gt;0, IF(ROUND(J145, 6)=1, G145 * C145 * (1+Parameters!$B$5)^-0.5, C145 * (1-J145^G145)/(1-J145) * (1+Parameters!$B$5)^-0.5), 0)</f>
        <v/>
      </c>
      <c r="L145" s="5">
        <f>K145*(1-Parameters!$B$4)</f>
        <v/>
      </c>
      <c r="M145" s="5">
        <f>L145*(1+Parameters!$B$5)^G145</f>
        <v/>
      </c>
      <c r="N145" s="5">
        <f>IF(E145&gt;=65, (65-B145)*I145/Parameters!$B$6, 0)</f>
        <v/>
      </c>
      <c r="O145">
        <f>IF(E145&gt;65, (1-(1+Parameters!$B$5)^-(E145-65))/Parameters!$B$5, 0)</f>
        <v/>
      </c>
      <c r="P145" s="5">
        <f>N145 * O145 * (1+Parameters!$B$5)^-(65-B145)</f>
        <v/>
      </c>
      <c r="Q145" s="5">
        <f>IF(AND(E145&gt;=66, E145&lt;=69), 5*N145*(1+Parameters!$B$5)^-(E145-B145), 0)</f>
        <v/>
      </c>
      <c r="R145" s="5">
        <f>IF(E145&lt;=65, L145, 0)</f>
        <v/>
      </c>
      <c r="S145" s="5">
        <f>N145 * (Parameters!$B$6 / Parameters!$B$9)</f>
        <v/>
      </c>
      <c r="T145" s="5">
        <f>P145 + Q145</f>
        <v/>
      </c>
      <c r="U145">
        <f>IF(E145&gt;65, (1-((1+Parameters!$B$10)/(1+Parameters!$B$5))^(E145-65))/(((1+Parameters!$B$5)/(1+Parameters!$B$10))-1), 0)</f>
        <v/>
      </c>
      <c r="V145" s="5">
        <f>S145 * U145 * (1+Parameters!$B$5)^-(65-B145)</f>
        <v/>
      </c>
      <c r="W145" s="5">
        <f>IF(AND(E145&gt;=66, E145&lt;=69), 5*S145*(1+Parameters!$B$5)^-(E145-B145), 0)</f>
        <v/>
      </c>
      <c r="X145" s="5">
        <f>V145 + W145 + R145</f>
        <v/>
      </c>
      <c r="Y145" s="5">
        <f>IF(E145&gt;=65, M145/S145, "")</f>
        <v/>
      </c>
    </row>
    <row r="146">
      <c r="A146" t="n">
        <v>145</v>
      </c>
      <c r="B146" t="n">
        <v>57</v>
      </c>
      <c r="C146" s="5" t="n">
        <v>6460</v>
      </c>
      <c r="D146" t="n">
        <v>0.0161</v>
      </c>
      <c r="E146" t="n">
        <v>65</v>
      </c>
      <c r="F146" s="5" t="n">
        <v>64600</v>
      </c>
      <c r="G146">
        <f>MIN(65-B146, MAX(0, E146-B146))</f>
        <v/>
      </c>
      <c r="H146">
        <f>B146+G146</f>
        <v/>
      </c>
      <c r="I146" s="5">
        <f>F146*(1+D146)^G146</f>
        <v/>
      </c>
      <c r="J146">
        <f>(1+D146)/(1+Parameters!$B$5)</f>
        <v/>
      </c>
      <c r="K146" s="5">
        <f>IF(G146&gt;0, IF(ROUND(J146, 6)=1, G146 * C146 * (1+Parameters!$B$5)^-0.5, C146 * (1-J146^G146)/(1-J146) * (1+Parameters!$B$5)^-0.5), 0)</f>
        <v/>
      </c>
      <c r="L146" s="5">
        <f>K146*(1-Parameters!$B$4)</f>
        <v/>
      </c>
      <c r="M146" s="5">
        <f>L146*(1+Parameters!$B$5)^G146</f>
        <v/>
      </c>
      <c r="N146" s="5">
        <f>IF(E146&gt;=65, (65-B146)*I146/Parameters!$B$6, 0)</f>
        <v/>
      </c>
      <c r="O146">
        <f>IF(E146&gt;65, (1-(1+Parameters!$B$5)^-(E146-65))/Parameters!$B$5, 0)</f>
        <v/>
      </c>
      <c r="P146" s="5">
        <f>N146 * O146 * (1+Parameters!$B$5)^-(65-B146)</f>
        <v/>
      </c>
      <c r="Q146" s="5">
        <f>IF(AND(E146&gt;=66, E146&lt;=69), 5*N146*(1+Parameters!$B$5)^-(E146-B146), 0)</f>
        <v/>
      </c>
      <c r="R146" s="5">
        <f>IF(E146&lt;=65, L146, 0)</f>
        <v/>
      </c>
      <c r="S146" s="5">
        <f>N146 * (Parameters!$B$6 / Parameters!$B$9)</f>
        <v/>
      </c>
      <c r="T146" s="5">
        <f>P146 + Q146</f>
        <v/>
      </c>
      <c r="U146">
        <f>IF(E146&gt;65, (1-((1+Parameters!$B$10)/(1+Parameters!$B$5))^(E146-65))/(((1+Parameters!$B$5)/(1+Parameters!$B$10))-1), 0)</f>
        <v/>
      </c>
      <c r="V146" s="5">
        <f>S146 * U146 * (1+Parameters!$B$5)^-(65-B146)</f>
        <v/>
      </c>
      <c r="W146" s="5">
        <f>IF(AND(E146&gt;=66, E146&lt;=69), 5*S146*(1+Parameters!$B$5)^-(E146-B146), 0)</f>
        <v/>
      </c>
      <c r="X146" s="5">
        <f>V146 + W146 + R146</f>
        <v/>
      </c>
      <c r="Y146" s="5">
        <f>IF(E146&gt;=65, M146/S146, "")</f>
        <v/>
      </c>
    </row>
    <row r="147">
      <c r="A147" t="n">
        <v>146</v>
      </c>
      <c r="B147" t="n">
        <v>50</v>
      </c>
      <c r="C147" s="5" t="n">
        <v>8180</v>
      </c>
      <c r="D147" t="n">
        <v>0.0499</v>
      </c>
      <c r="E147" t="n">
        <v>80</v>
      </c>
      <c r="F147" s="5" t="n">
        <v>81800</v>
      </c>
      <c r="G147">
        <f>MIN(65-B147, MAX(0, E147-B147))</f>
        <v/>
      </c>
      <c r="H147">
        <f>B147+G147</f>
        <v/>
      </c>
      <c r="I147" s="5">
        <f>F147*(1+D147)^G147</f>
        <v/>
      </c>
      <c r="J147">
        <f>(1+D147)/(1+Parameters!$B$5)</f>
        <v/>
      </c>
      <c r="K147" s="5">
        <f>IF(G147&gt;0, IF(ROUND(J147, 6)=1, G147 * C147 * (1+Parameters!$B$5)^-0.5, C147 * (1-J147^G147)/(1-J147) * (1+Parameters!$B$5)^-0.5), 0)</f>
        <v/>
      </c>
      <c r="L147" s="5">
        <f>K147*(1-Parameters!$B$4)</f>
        <v/>
      </c>
      <c r="M147" s="5">
        <f>L147*(1+Parameters!$B$5)^G147</f>
        <v/>
      </c>
      <c r="N147" s="5">
        <f>IF(E147&gt;=65, (65-B147)*I147/Parameters!$B$6, 0)</f>
        <v/>
      </c>
      <c r="O147">
        <f>IF(E147&gt;65, (1-(1+Parameters!$B$5)^-(E147-65))/Parameters!$B$5, 0)</f>
        <v/>
      </c>
      <c r="P147" s="5">
        <f>N147 * O147 * (1+Parameters!$B$5)^-(65-B147)</f>
        <v/>
      </c>
      <c r="Q147" s="5">
        <f>IF(AND(E147&gt;=66, E147&lt;=69), 5*N147*(1+Parameters!$B$5)^-(E147-B147), 0)</f>
        <v/>
      </c>
      <c r="R147" s="5">
        <f>IF(E147&lt;=65, L147, 0)</f>
        <v/>
      </c>
      <c r="S147" s="5">
        <f>N147 * (Parameters!$B$6 / Parameters!$B$9)</f>
        <v/>
      </c>
      <c r="T147" s="5">
        <f>P147 + Q147</f>
        <v/>
      </c>
      <c r="U147">
        <f>IF(E147&gt;65, (1-((1+Parameters!$B$10)/(1+Parameters!$B$5))^(E147-65))/(((1+Parameters!$B$5)/(1+Parameters!$B$10))-1), 0)</f>
        <v/>
      </c>
      <c r="V147" s="5">
        <f>S147 * U147 * (1+Parameters!$B$5)^-(65-B147)</f>
        <v/>
      </c>
      <c r="W147" s="5">
        <f>IF(AND(E147&gt;=66, E147&lt;=69), 5*S147*(1+Parameters!$B$5)^-(E147-B147), 0)</f>
        <v/>
      </c>
      <c r="X147" s="5">
        <f>V147 + W147 + R147</f>
        <v/>
      </c>
      <c r="Y147" s="5">
        <f>IF(E147&gt;=65, M147/S147, "")</f>
        <v/>
      </c>
    </row>
    <row r="148">
      <c r="A148" t="n">
        <v>147</v>
      </c>
      <c r="B148" t="n">
        <v>55</v>
      </c>
      <c r="C148" s="5" t="n">
        <v>10500</v>
      </c>
      <c r="D148" t="n">
        <v>0.0527</v>
      </c>
      <c r="E148" t="n">
        <v>75</v>
      </c>
      <c r="F148" s="5" t="n">
        <v>105000</v>
      </c>
      <c r="G148">
        <f>MIN(65-B148, MAX(0, E148-B148))</f>
        <v/>
      </c>
      <c r="H148">
        <f>B148+G148</f>
        <v/>
      </c>
      <c r="I148" s="5">
        <f>F148*(1+D148)^G148</f>
        <v/>
      </c>
      <c r="J148">
        <f>(1+D148)/(1+Parameters!$B$5)</f>
        <v/>
      </c>
      <c r="K148" s="5">
        <f>IF(G148&gt;0, IF(ROUND(J148, 6)=1, G148 * C148 * (1+Parameters!$B$5)^-0.5, C148 * (1-J148^G148)/(1-J148) * (1+Parameters!$B$5)^-0.5), 0)</f>
        <v/>
      </c>
      <c r="L148" s="5">
        <f>K148*(1-Parameters!$B$4)</f>
        <v/>
      </c>
      <c r="M148" s="5">
        <f>L148*(1+Parameters!$B$5)^G148</f>
        <v/>
      </c>
      <c r="N148" s="5">
        <f>IF(E148&gt;=65, (65-B148)*I148/Parameters!$B$6, 0)</f>
        <v/>
      </c>
      <c r="O148">
        <f>IF(E148&gt;65, (1-(1+Parameters!$B$5)^-(E148-65))/Parameters!$B$5, 0)</f>
        <v/>
      </c>
      <c r="P148" s="5">
        <f>N148 * O148 * (1+Parameters!$B$5)^-(65-B148)</f>
        <v/>
      </c>
      <c r="Q148" s="5">
        <f>IF(AND(E148&gt;=66, E148&lt;=69), 5*N148*(1+Parameters!$B$5)^-(E148-B148), 0)</f>
        <v/>
      </c>
      <c r="R148" s="5">
        <f>IF(E148&lt;=65, L148, 0)</f>
        <v/>
      </c>
      <c r="S148" s="5">
        <f>N148 * (Parameters!$B$6 / Parameters!$B$9)</f>
        <v/>
      </c>
      <c r="T148" s="5">
        <f>P148 + Q148</f>
        <v/>
      </c>
      <c r="U148">
        <f>IF(E148&gt;65, (1-((1+Parameters!$B$10)/(1+Parameters!$B$5))^(E148-65))/(((1+Parameters!$B$5)/(1+Parameters!$B$10))-1), 0)</f>
        <v/>
      </c>
      <c r="V148" s="5">
        <f>S148 * U148 * (1+Parameters!$B$5)^-(65-B148)</f>
        <v/>
      </c>
      <c r="W148" s="5">
        <f>IF(AND(E148&gt;=66, E148&lt;=69), 5*S148*(1+Parameters!$B$5)^-(E148-B148), 0)</f>
        <v/>
      </c>
      <c r="X148" s="5">
        <f>V148 + W148 + R148</f>
        <v/>
      </c>
      <c r="Y148" s="5">
        <f>IF(E148&gt;=65, M148/S148, "")</f>
        <v/>
      </c>
    </row>
    <row r="149">
      <c r="A149" t="n">
        <v>148</v>
      </c>
      <c r="B149" t="n">
        <v>26</v>
      </c>
      <c r="C149" s="5" t="n">
        <v>1830</v>
      </c>
      <c r="D149" t="n">
        <v>0.0489</v>
      </c>
      <c r="E149" t="n">
        <v>105</v>
      </c>
      <c r="F149" s="5" t="n">
        <v>18300</v>
      </c>
      <c r="G149">
        <f>MIN(65-B149, MAX(0, E149-B149))</f>
        <v/>
      </c>
      <c r="H149">
        <f>B149+G149</f>
        <v/>
      </c>
      <c r="I149" s="5">
        <f>F149*(1+D149)^G149</f>
        <v/>
      </c>
      <c r="J149">
        <f>(1+D149)/(1+Parameters!$B$5)</f>
        <v/>
      </c>
      <c r="K149" s="5">
        <f>IF(G149&gt;0, IF(ROUND(J149, 6)=1, G149 * C149 * (1+Parameters!$B$5)^-0.5, C149 * (1-J149^G149)/(1-J149) * (1+Parameters!$B$5)^-0.5), 0)</f>
        <v/>
      </c>
      <c r="L149" s="5">
        <f>K149*(1-Parameters!$B$4)</f>
        <v/>
      </c>
      <c r="M149" s="5">
        <f>L149*(1+Parameters!$B$5)^G149</f>
        <v/>
      </c>
      <c r="N149" s="5">
        <f>IF(E149&gt;=65, (65-B149)*I149/Parameters!$B$6, 0)</f>
        <v/>
      </c>
      <c r="O149">
        <f>IF(E149&gt;65, (1-(1+Parameters!$B$5)^-(E149-65))/Parameters!$B$5, 0)</f>
        <v/>
      </c>
      <c r="P149" s="5">
        <f>N149 * O149 * (1+Parameters!$B$5)^-(65-B149)</f>
        <v/>
      </c>
      <c r="Q149" s="5">
        <f>IF(AND(E149&gt;=66, E149&lt;=69), 5*N149*(1+Parameters!$B$5)^-(E149-B149), 0)</f>
        <v/>
      </c>
      <c r="R149" s="5">
        <f>IF(E149&lt;=65, L149, 0)</f>
        <v/>
      </c>
      <c r="S149" s="5">
        <f>N149 * (Parameters!$B$6 / Parameters!$B$9)</f>
        <v/>
      </c>
      <c r="T149" s="5">
        <f>P149 + Q149</f>
        <v/>
      </c>
      <c r="U149">
        <f>IF(E149&gt;65, (1-((1+Parameters!$B$10)/(1+Parameters!$B$5))^(E149-65))/(((1+Parameters!$B$5)/(1+Parameters!$B$10))-1), 0)</f>
        <v/>
      </c>
      <c r="V149" s="5">
        <f>S149 * U149 * (1+Parameters!$B$5)^-(65-B149)</f>
        <v/>
      </c>
      <c r="W149" s="5">
        <f>IF(AND(E149&gt;=66, E149&lt;=69), 5*S149*(1+Parameters!$B$5)^-(E149-B149), 0)</f>
        <v/>
      </c>
      <c r="X149" s="5">
        <f>V149 + W149 + R149</f>
        <v/>
      </c>
      <c r="Y149" s="5">
        <f>IF(E149&gt;=65, M149/S149, "")</f>
        <v/>
      </c>
    </row>
    <row r="150">
      <c r="A150" t="n">
        <v>149</v>
      </c>
      <c r="B150" t="n">
        <v>46</v>
      </c>
      <c r="C150" s="5" t="n">
        <v>6500</v>
      </c>
      <c r="D150" t="n">
        <v>0.0542</v>
      </c>
      <c r="E150" t="n">
        <v>61</v>
      </c>
      <c r="F150" s="5" t="n">
        <v>65000</v>
      </c>
      <c r="G150">
        <f>MIN(65-B150, MAX(0, E150-B150))</f>
        <v/>
      </c>
      <c r="H150">
        <f>B150+G150</f>
        <v/>
      </c>
      <c r="I150" s="5">
        <f>F150*(1+D150)^G150</f>
        <v/>
      </c>
      <c r="J150">
        <f>(1+D150)/(1+Parameters!$B$5)</f>
        <v/>
      </c>
      <c r="K150" s="5">
        <f>IF(G150&gt;0, IF(ROUND(J150, 6)=1, G150 * C150 * (1+Parameters!$B$5)^-0.5, C150 * (1-J150^G150)/(1-J150) * (1+Parameters!$B$5)^-0.5), 0)</f>
        <v/>
      </c>
      <c r="L150" s="5">
        <f>K150*(1-Parameters!$B$4)</f>
        <v/>
      </c>
      <c r="M150" s="5">
        <f>L150*(1+Parameters!$B$5)^G150</f>
        <v/>
      </c>
      <c r="N150" s="5">
        <f>IF(E150&gt;=65, (65-B150)*I150/Parameters!$B$6, 0)</f>
        <v/>
      </c>
      <c r="O150">
        <f>IF(E150&gt;65, (1-(1+Parameters!$B$5)^-(E150-65))/Parameters!$B$5, 0)</f>
        <v/>
      </c>
      <c r="P150" s="5">
        <f>N150 * O150 * (1+Parameters!$B$5)^-(65-B150)</f>
        <v/>
      </c>
      <c r="Q150" s="5">
        <f>IF(AND(E150&gt;=66, E150&lt;=69), 5*N150*(1+Parameters!$B$5)^-(E150-B150), 0)</f>
        <v/>
      </c>
      <c r="R150" s="5">
        <f>IF(E150&lt;=65, L150, 0)</f>
        <v/>
      </c>
      <c r="S150" s="5">
        <f>N150 * (Parameters!$B$6 / Parameters!$B$9)</f>
        <v/>
      </c>
      <c r="T150" s="5">
        <f>P150 + Q150</f>
        <v/>
      </c>
      <c r="U150">
        <f>IF(E150&gt;65, (1-((1+Parameters!$B$10)/(1+Parameters!$B$5))^(E150-65))/(((1+Parameters!$B$5)/(1+Parameters!$B$10))-1), 0)</f>
        <v/>
      </c>
      <c r="V150" s="5">
        <f>S150 * U150 * (1+Parameters!$B$5)^-(65-B150)</f>
        <v/>
      </c>
      <c r="W150" s="5">
        <f>IF(AND(E150&gt;=66, E150&lt;=69), 5*S150*(1+Parameters!$B$5)^-(E150-B150), 0)</f>
        <v/>
      </c>
      <c r="X150" s="5">
        <f>V150 + W150 + R150</f>
        <v/>
      </c>
      <c r="Y150" s="5">
        <f>IF(E150&gt;=65, M150/S150, "")</f>
        <v/>
      </c>
    </row>
    <row r="151">
      <c r="A151" t="n">
        <v>150</v>
      </c>
      <c r="B151" t="n">
        <v>30</v>
      </c>
      <c r="C151" s="5" t="n">
        <v>4260</v>
      </c>
      <c r="D151" t="n">
        <v>0.0268</v>
      </c>
      <c r="E151" t="n">
        <v>69</v>
      </c>
      <c r="F151" s="5" t="n">
        <v>42600</v>
      </c>
      <c r="G151">
        <f>MIN(65-B151, MAX(0, E151-B151))</f>
        <v/>
      </c>
      <c r="H151">
        <f>B151+G151</f>
        <v/>
      </c>
      <c r="I151" s="5">
        <f>F151*(1+D151)^G151</f>
        <v/>
      </c>
      <c r="J151">
        <f>(1+D151)/(1+Parameters!$B$5)</f>
        <v/>
      </c>
      <c r="K151" s="5">
        <f>IF(G151&gt;0, IF(ROUND(J151, 6)=1, G151 * C151 * (1+Parameters!$B$5)^-0.5, C151 * (1-J151^G151)/(1-J151) * (1+Parameters!$B$5)^-0.5), 0)</f>
        <v/>
      </c>
      <c r="L151" s="5">
        <f>K151*(1-Parameters!$B$4)</f>
        <v/>
      </c>
      <c r="M151" s="5">
        <f>L151*(1+Parameters!$B$5)^G151</f>
        <v/>
      </c>
      <c r="N151" s="5">
        <f>IF(E151&gt;=65, (65-B151)*I151/Parameters!$B$6, 0)</f>
        <v/>
      </c>
      <c r="O151">
        <f>IF(E151&gt;65, (1-(1+Parameters!$B$5)^-(E151-65))/Parameters!$B$5, 0)</f>
        <v/>
      </c>
      <c r="P151" s="5">
        <f>N151 * O151 * (1+Parameters!$B$5)^-(65-B151)</f>
        <v/>
      </c>
      <c r="Q151" s="5">
        <f>IF(AND(E151&gt;=66, E151&lt;=69), 5*N151*(1+Parameters!$B$5)^-(E151-B151), 0)</f>
        <v/>
      </c>
      <c r="R151" s="5">
        <f>IF(E151&lt;=65, L151, 0)</f>
        <v/>
      </c>
      <c r="S151" s="5">
        <f>N151 * (Parameters!$B$6 / Parameters!$B$9)</f>
        <v/>
      </c>
      <c r="T151" s="5">
        <f>P151 + Q151</f>
        <v/>
      </c>
      <c r="U151">
        <f>IF(E151&gt;65, (1-((1+Parameters!$B$10)/(1+Parameters!$B$5))^(E151-65))/(((1+Parameters!$B$5)/(1+Parameters!$B$10))-1), 0)</f>
        <v/>
      </c>
      <c r="V151" s="5">
        <f>S151 * U151 * (1+Parameters!$B$5)^-(65-B151)</f>
        <v/>
      </c>
      <c r="W151" s="5">
        <f>IF(AND(E151&gt;=66, E151&lt;=69), 5*S151*(1+Parameters!$B$5)^-(E151-B151), 0)</f>
        <v/>
      </c>
      <c r="X151" s="5">
        <f>V151 + W151 + R151</f>
        <v/>
      </c>
      <c r="Y151" s="5">
        <f>IF(E151&gt;=65, M151/S151, "")</f>
        <v/>
      </c>
    </row>
    <row r="152">
      <c r="A152" t="n">
        <v>151</v>
      </c>
      <c r="B152" t="n">
        <v>31</v>
      </c>
      <c r="C152" s="5" t="n">
        <v>5550</v>
      </c>
      <c r="D152" t="n">
        <v>0.0423</v>
      </c>
      <c r="E152" t="n">
        <v>98</v>
      </c>
      <c r="F152" s="5" t="n">
        <v>55500</v>
      </c>
      <c r="G152">
        <f>MIN(65-B152, MAX(0, E152-B152))</f>
        <v/>
      </c>
      <c r="H152">
        <f>B152+G152</f>
        <v/>
      </c>
      <c r="I152" s="5">
        <f>F152*(1+D152)^G152</f>
        <v/>
      </c>
      <c r="J152">
        <f>(1+D152)/(1+Parameters!$B$5)</f>
        <v/>
      </c>
      <c r="K152" s="5">
        <f>IF(G152&gt;0, IF(ROUND(J152, 6)=1, G152 * C152 * (1+Parameters!$B$5)^-0.5, C152 * (1-J152^G152)/(1-J152) * (1+Parameters!$B$5)^-0.5), 0)</f>
        <v/>
      </c>
      <c r="L152" s="5">
        <f>K152*(1-Parameters!$B$4)</f>
        <v/>
      </c>
      <c r="M152" s="5">
        <f>L152*(1+Parameters!$B$5)^G152</f>
        <v/>
      </c>
      <c r="N152" s="5">
        <f>IF(E152&gt;=65, (65-B152)*I152/Parameters!$B$6, 0)</f>
        <v/>
      </c>
      <c r="O152">
        <f>IF(E152&gt;65, (1-(1+Parameters!$B$5)^-(E152-65))/Parameters!$B$5, 0)</f>
        <v/>
      </c>
      <c r="P152" s="5">
        <f>N152 * O152 * (1+Parameters!$B$5)^-(65-B152)</f>
        <v/>
      </c>
      <c r="Q152" s="5">
        <f>IF(AND(E152&gt;=66, E152&lt;=69), 5*N152*(1+Parameters!$B$5)^-(E152-B152), 0)</f>
        <v/>
      </c>
      <c r="R152" s="5">
        <f>IF(E152&lt;=65, L152, 0)</f>
        <v/>
      </c>
      <c r="S152" s="5">
        <f>N152 * (Parameters!$B$6 / Parameters!$B$9)</f>
        <v/>
      </c>
      <c r="T152" s="5">
        <f>P152 + Q152</f>
        <v/>
      </c>
      <c r="U152">
        <f>IF(E152&gt;65, (1-((1+Parameters!$B$10)/(1+Parameters!$B$5))^(E152-65))/(((1+Parameters!$B$5)/(1+Parameters!$B$10))-1), 0)</f>
        <v/>
      </c>
      <c r="V152" s="5">
        <f>S152 * U152 * (1+Parameters!$B$5)^-(65-B152)</f>
        <v/>
      </c>
      <c r="W152" s="5">
        <f>IF(AND(E152&gt;=66, E152&lt;=69), 5*S152*(1+Parameters!$B$5)^-(E152-B152), 0)</f>
        <v/>
      </c>
      <c r="X152" s="5">
        <f>V152 + W152 + R152</f>
        <v/>
      </c>
      <c r="Y152" s="5">
        <f>IF(E152&gt;=65, M152/S152, "")</f>
        <v/>
      </c>
    </row>
    <row r="153">
      <c r="A153" t="n">
        <v>152</v>
      </c>
      <c r="B153" t="n">
        <v>26</v>
      </c>
      <c r="C153" s="5" t="n">
        <v>2220</v>
      </c>
      <c r="D153" t="n">
        <v>0.0383</v>
      </c>
      <c r="E153" t="n">
        <v>77</v>
      </c>
      <c r="F153" s="5" t="n">
        <v>22200</v>
      </c>
      <c r="G153">
        <f>MIN(65-B153, MAX(0, E153-B153))</f>
        <v/>
      </c>
      <c r="H153">
        <f>B153+G153</f>
        <v/>
      </c>
      <c r="I153" s="5">
        <f>F153*(1+D153)^G153</f>
        <v/>
      </c>
      <c r="J153">
        <f>(1+D153)/(1+Parameters!$B$5)</f>
        <v/>
      </c>
      <c r="K153" s="5">
        <f>IF(G153&gt;0, IF(ROUND(J153, 6)=1, G153 * C153 * (1+Parameters!$B$5)^-0.5, C153 * (1-J153^G153)/(1-J153) * (1+Parameters!$B$5)^-0.5), 0)</f>
        <v/>
      </c>
      <c r="L153" s="5">
        <f>K153*(1-Parameters!$B$4)</f>
        <v/>
      </c>
      <c r="M153" s="5">
        <f>L153*(1+Parameters!$B$5)^G153</f>
        <v/>
      </c>
      <c r="N153" s="5">
        <f>IF(E153&gt;=65, (65-B153)*I153/Parameters!$B$6, 0)</f>
        <v/>
      </c>
      <c r="O153">
        <f>IF(E153&gt;65, (1-(1+Parameters!$B$5)^-(E153-65))/Parameters!$B$5, 0)</f>
        <v/>
      </c>
      <c r="P153" s="5">
        <f>N153 * O153 * (1+Parameters!$B$5)^-(65-B153)</f>
        <v/>
      </c>
      <c r="Q153" s="5">
        <f>IF(AND(E153&gt;=66, E153&lt;=69), 5*N153*(1+Parameters!$B$5)^-(E153-B153), 0)</f>
        <v/>
      </c>
      <c r="R153" s="5">
        <f>IF(E153&lt;=65, L153, 0)</f>
        <v/>
      </c>
      <c r="S153" s="5">
        <f>N153 * (Parameters!$B$6 / Parameters!$B$9)</f>
        <v/>
      </c>
      <c r="T153" s="5">
        <f>P153 + Q153</f>
        <v/>
      </c>
      <c r="U153">
        <f>IF(E153&gt;65, (1-((1+Parameters!$B$10)/(1+Parameters!$B$5))^(E153-65))/(((1+Parameters!$B$5)/(1+Parameters!$B$10))-1), 0)</f>
        <v/>
      </c>
      <c r="V153" s="5">
        <f>S153 * U153 * (1+Parameters!$B$5)^-(65-B153)</f>
        <v/>
      </c>
      <c r="W153" s="5">
        <f>IF(AND(E153&gt;=66, E153&lt;=69), 5*S153*(1+Parameters!$B$5)^-(E153-B153), 0)</f>
        <v/>
      </c>
      <c r="X153" s="5">
        <f>V153 + W153 + R153</f>
        <v/>
      </c>
      <c r="Y153" s="5">
        <f>IF(E153&gt;=65, M153/S153, "")</f>
        <v/>
      </c>
    </row>
    <row r="154">
      <c r="A154" t="n">
        <v>153</v>
      </c>
      <c r="B154" t="n">
        <v>27</v>
      </c>
      <c r="C154" s="5" t="n">
        <v>4160</v>
      </c>
      <c r="D154" t="n">
        <v>0.0381</v>
      </c>
      <c r="E154" t="n">
        <v>103</v>
      </c>
      <c r="F154" s="5" t="n">
        <v>41600</v>
      </c>
      <c r="G154">
        <f>MIN(65-B154, MAX(0, E154-B154))</f>
        <v/>
      </c>
      <c r="H154">
        <f>B154+G154</f>
        <v/>
      </c>
      <c r="I154" s="5">
        <f>F154*(1+D154)^G154</f>
        <v/>
      </c>
      <c r="J154">
        <f>(1+D154)/(1+Parameters!$B$5)</f>
        <v/>
      </c>
      <c r="K154" s="5">
        <f>IF(G154&gt;0, IF(ROUND(J154, 6)=1, G154 * C154 * (1+Parameters!$B$5)^-0.5, C154 * (1-J154^G154)/(1-J154) * (1+Parameters!$B$5)^-0.5), 0)</f>
        <v/>
      </c>
      <c r="L154" s="5">
        <f>K154*(1-Parameters!$B$4)</f>
        <v/>
      </c>
      <c r="M154" s="5">
        <f>L154*(1+Parameters!$B$5)^G154</f>
        <v/>
      </c>
      <c r="N154" s="5">
        <f>IF(E154&gt;=65, (65-B154)*I154/Parameters!$B$6, 0)</f>
        <v/>
      </c>
      <c r="O154">
        <f>IF(E154&gt;65, (1-(1+Parameters!$B$5)^-(E154-65))/Parameters!$B$5, 0)</f>
        <v/>
      </c>
      <c r="P154" s="5">
        <f>N154 * O154 * (1+Parameters!$B$5)^-(65-B154)</f>
        <v/>
      </c>
      <c r="Q154" s="5">
        <f>IF(AND(E154&gt;=66, E154&lt;=69), 5*N154*(1+Parameters!$B$5)^-(E154-B154), 0)</f>
        <v/>
      </c>
      <c r="R154" s="5">
        <f>IF(E154&lt;=65, L154, 0)</f>
        <v/>
      </c>
      <c r="S154" s="5">
        <f>N154 * (Parameters!$B$6 / Parameters!$B$9)</f>
        <v/>
      </c>
      <c r="T154" s="5">
        <f>P154 + Q154</f>
        <v/>
      </c>
      <c r="U154">
        <f>IF(E154&gt;65, (1-((1+Parameters!$B$10)/(1+Parameters!$B$5))^(E154-65))/(((1+Parameters!$B$5)/(1+Parameters!$B$10))-1), 0)</f>
        <v/>
      </c>
      <c r="V154" s="5">
        <f>S154 * U154 * (1+Parameters!$B$5)^-(65-B154)</f>
        <v/>
      </c>
      <c r="W154" s="5">
        <f>IF(AND(E154&gt;=66, E154&lt;=69), 5*S154*(1+Parameters!$B$5)^-(E154-B154), 0)</f>
        <v/>
      </c>
      <c r="X154" s="5">
        <f>V154 + W154 + R154</f>
        <v/>
      </c>
      <c r="Y154" s="5">
        <f>IF(E154&gt;=65, M154/S154, "")</f>
        <v/>
      </c>
    </row>
    <row r="155">
      <c r="A155" t="n">
        <v>154</v>
      </c>
      <c r="B155" t="n">
        <v>47</v>
      </c>
      <c r="C155" s="5" t="n">
        <v>10310</v>
      </c>
      <c r="D155" t="n">
        <v>0.0398</v>
      </c>
      <c r="E155" t="n">
        <v>80</v>
      </c>
      <c r="F155" s="5" t="n">
        <v>103100</v>
      </c>
      <c r="G155">
        <f>MIN(65-B155, MAX(0, E155-B155))</f>
        <v/>
      </c>
      <c r="H155">
        <f>B155+G155</f>
        <v/>
      </c>
      <c r="I155" s="5">
        <f>F155*(1+D155)^G155</f>
        <v/>
      </c>
      <c r="J155">
        <f>(1+D155)/(1+Parameters!$B$5)</f>
        <v/>
      </c>
      <c r="K155" s="5">
        <f>IF(G155&gt;0, IF(ROUND(J155, 6)=1, G155 * C155 * (1+Parameters!$B$5)^-0.5, C155 * (1-J155^G155)/(1-J155) * (1+Parameters!$B$5)^-0.5), 0)</f>
        <v/>
      </c>
      <c r="L155" s="5">
        <f>K155*(1-Parameters!$B$4)</f>
        <v/>
      </c>
      <c r="M155" s="5">
        <f>L155*(1+Parameters!$B$5)^G155</f>
        <v/>
      </c>
      <c r="N155" s="5">
        <f>IF(E155&gt;=65, (65-B155)*I155/Parameters!$B$6, 0)</f>
        <v/>
      </c>
      <c r="O155">
        <f>IF(E155&gt;65, (1-(1+Parameters!$B$5)^-(E155-65))/Parameters!$B$5, 0)</f>
        <v/>
      </c>
      <c r="P155" s="5">
        <f>N155 * O155 * (1+Parameters!$B$5)^-(65-B155)</f>
        <v/>
      </c>
      <c r="Q155" s="5">
        <f>IF(AND(E155&gt;=66, E155&lt;=69), 5*N155*(1+Parameters!$B$5)^-(E155-B155), 0)</f>
        <v/>
      </c>
      <c r="R155" s="5">
        <f>IF(E155&lt;=65, L155, 0)</f>
        <v/>
      </c>
      <c r="S155" s="5">
        <f>N155 * (Parameters!$B$6 / Parameters!$B$9)</f>
        <v/>
      </c>
      <c r="T155" s="5">
        <f>P155 + Q155</f>
        <v/>
      </c>
      <c r="U155">
        <f>IF(E155&gt;65, (1-((1+Parameters!$B$10)/(1+Parameters!$B$5))^(E155-65))/(((1+Parameters!$B$5)/(1+Parameters!$B$10))-1), 0)</f>
        <v/>
      </c>
      <c r="V155" s="5">
        <f>S155 * U155 * (1+Parameters!$B$5)^-(65-B155)</f>
        <v/>
      </c>
      <c r="W155" s="5">
        <f>IF(AND(E155&gt;=66, E155&lt;=69), 5*S155*(1+Parameters!$B$5)^-(E155-B155), 0)</f>
        <v/>
      </c>
      <c r="X155" s="5">
        <f>V155 + W155 + R155</f>
        <v/>
      </c>
      <c r="Y155" s="5">
        <f>IF(E155&gt;=65, M155/S155, "")</f>
        <v/>
      </c>
    </row>
    <row r="156">
      <c r="A156" t="n">
        <v>155</v>
      </c>
      <c r="B156" t="n">
        <v>58</v>
      </c>
      <c r="C156" s="5" t="n">
        <v>1620</v>
      </c>
      <c r="D156" t="n">
        <v>0.0317</v>
      </c>
      <c r="E156" t="n">
        <v>66</v>
      </c>
      <c r="F156" s="5" t="n">
        <v>16200</v>
      </c>
      <c r="G156">
        <f>MIN(65-B156, MAX(0, E156-B156))</f>
        <v/>
      </c>
      <c r="H156">
        <f>B156+G156</f>
        <v/>
      </c>
      <c r="I156" s="5">
        <f>F156*(1+D156)^G156</f>
        <v/>
      </c>
      <c r="J156">
        <f>(1+D156)/(1+Parameters!$B$5)</f>
        <v/>
      </c>
      <c r="K156" s="5">
        <f>IF(G156&gt;0, IF(ROUND(J156, 6)=1, G156 * C156 * (1+Parameters!$B$5)^-0.5, C156 * (1-J156^G156)/(1-J156) * (1+Parameters!$B$5)^-0.5), 0)</f>
        <v/>
      </c>
      <c r="L156" s="5">
        <f>K156*(1-Parameters!$B$4)</f>
        <v/>
      </c>
      <c r="M156" s="5">
        <f>L156*(1+Parameters!$B$5)^G156</f>
        <v/>
      </c>
      <c r="N156" s="5">
        <f>IF(E156&gt;=65, (65-B156)*I156/Parameters!$B$6, 0)</f>
        <v/>
      </c>
      <c r="O156">
        <f>IF(E156&gt;65, (1-(1+Parameters!$B$5)^-(E156-65))/Parameters!$B$5, 0)</f>
        <v/>
      </c>
      <c r="P156" s="5">
        <f>N156 * O156 * (1+Parameters!$B$5)^-(65-B156)</f>
        <v/>
      </c>
      <c r="Q156" s="5">
        <f>IF(AND(E156&gt;=66, E156&lt;=69), 5*N156*(1+Parameters!$B$5)^-(E156-B156), 0)</f>
        <v/>
      </c>
      <c r="R156" s="5">
        <f>IF(E156&lt;=65, L156, 0)</f>
        <v/>
      </c>
      <c r="S156" s="5">
        <f>N156 * (Parameters!$B$6 / Parameters!$B$9)</f>
        <v/>
      </c>
      <c r="T156" s="5">
        <f>P156 + Q156</f>
        <v/>
      </c>
      <c r="U156">
        <f>IF(E156&gt;65, (1-((1+Parameters!$B$10)/(1+Parameters!$B$5))^(E156-65))/(((1+Parameters!$B$5)/(1+Parameters!$B$10))-1), 0)</f>
        <v/>
      </c>
      <c r="V156" s="5">
        <f>S156 * U156 * (1+Parameters!$B$5)^-(65-B156)</f>
        <v/>
      </c>
      <c r="W156" s="5">
        <f>IF(AND(E156&gt;=66, E156&lt;=69), 5*S156*(1+Parameters!$B$5)^-(E156-B156), 0)</f>
        <v/>
      </c>
      <c r="X156" s="5">
        <f>V156 + W156 + R156</f>
        <v/>
      </c>
      <c r="Y156" s="5">
        <f>IF(E156&gt;=65, M156/S156, "")</f>
        <v/>
      </c>
    </row>
    <row r="157">
      <c r="A157" t="n">
        <v>156</v>
      </c>
      <c r="B157" t="n">
        <v>23</v>
      </c>
      <c r="C157" s="5" t="n">
        <v>2860</v>
      </c>
      <c r="D157" t="n">
        <v>0.0124</v>
      </c>
      <c r="E157" t="n">
        <v>81</v>
      </c>
      <c r="F157" s="5" t="n">
        <v>28600</v>
      </c>
      <c r="G157">
        <f>MIN(65-B157, MAX(0, E157-B157))</f>
        <v/>
      </c>
      <c r="H157">
        <f>B157+G157</f>
        <v/>
      </c>
      <c r="I157" s="5">
        <f>F157*(1+D157)^G157</f>
        <v/>
      </c>
      <c r="J157">
        <f>(1+D157)/(1+Parameters!$B$5)</f>
        <v/>
      </c>
      <c r="K157" s="5">
        <f>IF(G157&gt;0, IF(ROUND(J157, 6)=1, G157 * C157 * (1+Parameters!$B$5)^-0.5, C157 * (1-J157^G157)/(1-J157) * (1+Parameters!$B$5)^-0.5), 0)</f>
        <v/>
      </c>
      <c r="L157" s="5">
        <f>K157*(1-Parameters!$B$4)</f>
        <v/>
      </c>
      <c r="M157" s="5">
        <f>L157*(1+Parameters!$B$5)^G157</f>
        <v/>
      </c>
      <c r="N157" s="5">
        <f>IF(E157&gt;=65, (65-B157)*I157/Parameters!$B$6, 0)</f>
        <v/>
      </c>
      <c r="O157">
        <f>IF(E157&gt;65, (1-(1+Parameters!$B$5)^-(E157-65))/Parameters!$B$5, 0)</f>
        <v/>
      </c>
      <c r="P157" s="5">
        <f>N157 * O157 * (1+Parameters!$B$5)^-(65-B157)</f>
        <v/>
      </c>
      <c r="Q157" s="5">
        <f>IF(AND(E157&gt;=66, E157&lt;=69), 5*N157*(1+Parameters!$B$5)^-(E157-B157), 0)</f>
        <v/>
      </c>
      <c r="R157" s="5">
        <f>IF(E157&lt;=65, L157, 0)</f>
        <v/>
      </c>
      <c r="S157" s="5">
        <f>N157 * (Parameters!$B$6 / Parameters!$B$9)</f>
        <v/>
      </c>
      <c r="T157" s="5">
        <f>P157 + Q157</f>
        <v/>
      </c>
      <c r="U157">
        <f>IF(E157&gt;65, (1-((1+Parameters!$B$10)/(1+Parameters!$B$5))^(E157-65))/(((1+Parameters!$B$5)/(1+Parameters!$B$10))-1), 0)</f>
        <v/>
      </c>
      <c r="V157" s="5">
        <f>S157 * U157 * (1+Parameters!$B$5)^-(65-B157)</f>
        <v/>
      </c>
      <c r="W157" s="5">
        <f>IF(AND(E157&gt;=66, E157&lt;=69), 5*S157*(1+Parameters!$B$5)^-(E157-B157), 0)</f>
        <v/>
      </c>
      <c r="X157" s="5">
        <f>V157 + W157 + R157</f>
        <v/>
      </c>
      <c r="Y157" s="5">
        <f>IF(E157&gt;=65, M157/S157, "")</f>
        <v/>
      </c>
    </row>
    <row r="158">
      <c r="A158" t="n">
        <v>157</v>
      </c>
      <c r="B158" t="n">
        <v>46</v>
      </c>
      <c r="C158" s="5" t="n">
        <v>8140</v>
      </c>
      <c r="D158" t="n">
        <v>0.0478</v>
      </c>
      <c r="E158" t="n">
        <v>81</v>
      </c>
      <c r="F158" s="5" t="n">
        <v>81400</v>
      </c>
      <c r="G158">
        <f>MIN(65-B158, MAX(0, E158-B158))</f>
        <v/>
      </c>
      <c r="H158">
        <f>B158+G158</f>
        <v/>
      </c>
      <c r="I158" s="5">
        <f>F158*(1+D158)^G158</f>
        <v/>
      </c>
      <c r="J158">
        <f>(1+D158)/(1+Parameters!$B$5)</f>
        <v/>
      </c>
      <c r="K158" s="5">
        <f>IF(G158&gt;0, IF(ROUND(J158, 6)=1, G158 * C158 * (1+Parameters!$B$5)^-0.5, C158 * (1-J158^G158)/(1-J158) * (1+Parameters!$B$5)^-0.5), 0)</f>
        <v/>
      </c>
      <c r="L158" s="5">
        <f>K158*(1-Parameters!$B$4)</f>
        <v/>
      </c>
      <c r="M158" s="5">
        <f>L158*(1+Parameters!$B$5)^G158</f>
        <v/>
      </c>
      <c r="N158" s="5">
        <f>IF(E158&gt;=65, (65-B158)*I158/Parameters!$B$6, 0)</f>
        <v/>
      </c>
      <c r="O158">
        <f>IF(E158&gt;65, (1-(1+Parameters!$B$5)^-(E158-65))/Parameters!$B$5, 0)</f>
        <v/>
      </c>
      <c r="P158" s="5">
        <f>N158 * O158 * (1+Parameters!$B$5)^-(65-B158)</f>
        <v/>
      </c>
      <c r="Q158" s="5">
        <f>IF(AND(E158&gt;=66, E158&lt;=69), 5*N158*(1+Parameters!$B$5)^-(E158-B158), 0)</f>
        <v/>
      </c>
      <c r="R158" s="5">
        <f>IF(E158&lt;=65, L158, 0)</f>
        <v/>
      </c>
      <c r="S158" s="5">
        <f>N158 * (Parameters!$B$6 / Parameters!$B$9)</f>
        <v/>
      </c>
      <c r="T158" s="5">
        <f>P158 + Q158</f>
        <v/>
      </c>
      <c r="U158">
        <f>IF(E158&gt;65, (1-((1+Parameters!$B$10)/(1+Parameters!$B$5))^(E158-65))/(((1+Parameters!$B$5)/(1+Parameters!$B$10))-1), 0)</f>
        <v/>
      </c>
      <c r="V158" s="5">
        <f>S158 * U158 * (1+Parameters!$B$5)^-(65-B158)</f>
        <v/>
      </c>
      <c r="W158" s="5">
        <f>IF(AND(E158&gt;=66, E158&lt;=69), 5*S158*(1+Parameters!$B$5)^-(E158-B158), 0)</f>
        <v/>
      </c>
      <c r="X158" s="5">
        <f>V158 + W158 + R158</f>
        <v/>
      </c>
      <c r="Y158" s="5">
        <f>IF(E158&gt;=65, M158/S158, "")</f>
        <v/>
      </c>
    </row>
    <row r="159">
      <c r="A159" t="n">
        <v>158</v>
      </c>
      <c r="B159" t="n">
        <v>34</v>
      </c>
      <c r="C159" s="5" t="n">
        <v>2800</v>
      </c>
      <c r="D159" t="n">
        <v>0.0134</v>
      </c>
      <c r="E159" t="n">
        <v>106</v>
      </c>
      <c r="F159" s="5" t="n">
        <v>28000</v>
      </c>
      <c r="G159">
        <f>MIN(65-B159, MAX(0, E159-B159))</f>
        <v/>
      </c>
      <c r="H159">
        <f>B159+G159</f>
        <v/>
      </c>
      <c r="I159" s="5">
        <f>F159*(1+D159)^G159</f>
        <v/>
      </c>
      <c r="J159">
        <f>(1+D159)/(1+Parameters!$B$5)</f>
        <v/>
      </c>
      <c r="K159" s="5">
        <f>IF(G159&gt;0, IF(ROUND(J159, 6)=1, G159 * C159 * (1+Parameters!$B$5)^-0.5, C159 * (1-J159^G159)/(1-J159) * (1+Parameters!$B$5)^-0.5), 0)</f>
        <v/>
      </c>
      <c r="L159" s="5">
        <f>K159*(1-Parameters!$B$4)</f>
        <v/>
      </c>
      <c r="M159" s="5">
        <f>L159*(1+Parameters!$B$5)^G159</f>
        <v/>
      </c>
      <c r="N159" s="5">
        <f>IF(E159&gt;=65, (65-B159)*I159/Parameters!$B$6, 0)</f>
        <v/>
      </c>
      <c r="O159">
        <f>IF(E159&gt;65, (1-(1+Parameters!$B$5)^-(E159-65))/Parameters!$B$5, 0)</f>
        <v/>
      </c>
      <c r="P159" s="5">
        <f>N159 * O159 * (1+Parameters!$B$5)^-(65-B159)</f>
        <v/>
      </c>
      <c r="Q159" s="5">
        <f>IF(AND(E159&gt;=66, E159&lt;=69), 5*N159*(1+Parameters!$B$5)^-(E159-B159), 0)</f>
        <v/>
      </c>
      <c r="R159" s="5">
        <f>IF(E159&lt;=65, L159, 0)</f>
        <v/>
      </c>
      <c r="S159" s="5">
        <f>N159 * (Parameters!$B$6 / Parameters!$B$9)</f>
        <v/>
      </c>
      <c r="T159" s="5">
        <f>P159 + Q159</f>
        <v/>
      </c>
      <c r="U159">
        <f>IF(E159&gt;65, (1-((1+Parameters!$B$10)/(1+Parameters!$B$5))^(E159-65))/(((1+Parameters!$B$5)/(1+Parameters!$B$10))-1), 0)</f>
        <v/>
      </c>
      <c r="V159" s="5">
        <f>S159 * U159 * (1+Parameters!$B$5)^-(65-B159)</f>
        <v/>
      </c>
      <c r="W159" s="5">
        <f>IF(AND(E159&gt;=66, E159&lt;=69), 5*S159*(1+Parameters!$B$5)^-(E159-B159), 0)</f>
        <v/>
      </c>
      <c r="X159" s="5">
        <f>V159 + W159 + R159</f>
        <v/>
      </c>
      <c r="Y159" s="5">
        <f>IF(E159&gt;=65, M159/S159, "")</f>
        <v/>
      </c>
    </row>
    <row r="160">
      <c r="A160" t="n">
        <v>159</v>
      </c>
      <c r="B160" t="n">
        <v>55</v>
      </c>
      <c r="C160" s="5" t="n">
        <v>11550</v>
      </c>
      <c r="D160" t="n">
        <v>0.0376</v>
      </c>
      <c r="E160" t="n">
        <v>76</v>
      </c>
      <c r="F160" s="5" t="n">
        <v>115500</v>
      </c>
      <c r="G160">
        <f>MIN(65-B160, MAX(0, E160-B160))</f>
        <v/>
      </c>
      <c r="H160">
        <f>B160+G160</f>
        <v/>
      </c>
      <c r="I160" s="5">
        <f>F160*(1+D160)^G160</f>
        <v/>
      </c>
      <c r="J160">
        <f>(1+D160)/(1+Parameters!$B$5)</f>
        <v/>
      </c>
      <c r="K160" s="5">
        <f>IF(G160&gt;0, IF(ROUND(J160, 6)=1, G160 * C160 * (1+Parameters!$B$5)^-0.5, C160 * (1-J160^G160)/(1-J160) * (1+Parameters!$B$5)^-0.5), 0)</f>
        <v/>
      </c>
      <c r="L160" s="5">
        <f>K160*(1-Parameters!$B$4)</f>
        <v/>
      </c>
      <c r="M160" s="5">
        <f>L160*(1+Parameters!$B$5)^G160</f>
        <v/>
      </c>
      <c r="N160" s="5">
        <f>IF(E160&gt;=65, (65-B160)*I160/Parameters!$B$6, 0)</f>
        <v/>
      </c>
      <c r="O160">
        <f>IF(E160&gt;65, (1-(1+Parameters!$B$5)^-(E160-65))/Parameters!$B$5, 0)</f>
        <v/>
      </c>
      <c r="P160" s="5">
        <f>N160 * O160 * (1+Parameters!$B$5)^-(65-B160)</f>
        <v/>
      </c>
      <c r="Q160" s="5">
        <f>IF(AND(E160&gt;=66, E160&lt;=69), 5*N160*(1+Parameters!$B$5)^-(E160-B160), 0)</f>
        <v/>
      </c>
      <c r="R160" s="5">
        <f>IF(E160&lt;=65, L160, 0)</f>
        <v/>
      </c>
      <c r="S160" s="5">
        <f>N160 * (Parameters!$B$6 / Parameters!$B$9)</f>
        <v/>
      </c>
      <c r="T160" s="5">
        <f>P160 + Q160</f>
        <v/>
      </c>
      <c r="U160">
        <f>IF(E160&gt;65, (1-((1+Parameters!$B$10)/(1+Parameters!$B$5))^(E160-65))/(((1+Parameters!$B$5)/(1+Parameters!$B$10))-1), 0)</f>
        <v/>
      </c>
      <c r="V160" s="5">
        <f>S160 * U160 * (1+Parameters!$B$5)^-(65-B160)</f>
        <v/>
      </c>
      <c r="W160" s="5">
        <f>IF(AND(E160&gt;=66, E160&lt;=69), 5*S160*(1+Parameters!$B$5)^-(E160-B160), 0)</f>
        <v/>
      </c>
      <c r="X160" s="5">
        <f>V160 + W160 + R160</f>
        <v/>
      </c>
      <c r="Y160" s="5">
        <f>IF(E160&gt;=65, M160/S160, "")</f>
        <v/>
      </c>
    </row>
    <row r="161">
      <c r="A161" t="n">
        <v>160</v>
      </c>
      <c r="B161" t="n">
        <v>58</v>
      </c>
      <c r="C161" s="5" t="n">
        <v>17330</v>
      </c>
      <c r="D161" t="n">
        <v>0.0208</v>
      </c>
      <c r="E161" t="n">
        <v>67</v>
      </c>
      <c r="F161" s="5" t="n">
        <v>173300</v>
      </c>
      <c r="G161">
        <f>MIN(65-B161, MAX(0, E161-B161))</f>
        <v/>
      </c>
      <c r="H161">
        <f>B161+G161</f>
        <v/>
      </c>
      <c r="I161" s="5">
        <f>F161*(1+D161)^G161</f>
        <v/>
      </c>
      <c r="J161">
        <f>(1+D161)/(1+Parameters!$B$5)</f>
        <v/>
      </c>
      <c r="K161" s="5">
        <f>IF(G161&gt;0, IF(ROUND(J161, 6)=1, G161 * C161 * (1+Parameters!$B$5)^-0.5, C161 * (1-J161^G161)/(1-J161) * (1+Parameters!$B$5)^-0.5), 0)</f>
        <v/>
      </c>
      <c r="L161" s="5">
        <f>K161*(1-Parameters!$B$4)</f>
        <v/>
      </c>
      <c r="M161" s="5">
        <f>L161*(1+Parameters!$B$5)^G161</f>
        <v/>
      </c>
      <c r="N161" s="5">
        <f>IF(E161&gt;=65, (65-B161)*I161/Parameters!$B$6, 0)</f>
        <v/>
      </c>
      <c r="O161">
        <f>IF(E161&gt;65, (1-(1+Parameters!$B$5)^-(E161-65))/Parameters!$B$5, 0)</f>
        <v/>
      </c>
      <c r="P161" s="5">
        <f>N161 * O161 * (1+Parameters!$B$5)^-(65-B161)</f>
        <v/>
      </c>
      <c r="Q161" s="5">
        <f>IF(AND(E161&gt;=66, E161&lt;=69), 5*N161*(1+Parameters!$B$5)^-(E161-B161), 0)</f>
        <v/>
      </c>
      <c r="R161" s="5">
        <f>IF(E161&lt;=65, L161, 0)</f>
        <v/>
      </c>
      <c r="S161" s="5">
        <f>N161 * (Parameters!$B$6 / Parameters!$B$9)</f>
        <v/>
      </c>
      <c r="T161" s="5">
        <f>P161 + Q161</f>
        <v/>
      </c>
      <c r="U161">
        <f>IF(E161&gt;65, (1-((1+Parameters!$B$10)/(1+Parameters!$B$5))^(E161-65))/(((1+Parameters!$B$5)/(1+Parameters!$B$10))-1), 0)</f>
        <v/>
      </c>
      <c r="V161" s="5">
        <f>S161 * U161 * (1+Parameters!$B$5)^-(65-B161)</f>
        <v/>
      </c>
      <c r="W161" s="5">
        <f>IF(AND(E161&gt;=66, E161&lt;=69), 5*S161*(1+Parameters!$B$5)^-(E161-B161), 0)</f>
        <v/>
      </c>
      <c r="X161" s="5">
        <f>V161 + W161 + R161</f>
        <v/>
      </c>
      <c r="Y161" s="5">
        <f>IF(E161&gt;=65, M161/S161, "")</f>
        <v/>
      </c>
    </row>
    <row r="162">
      <c r="A162" t="n">
        <v>161</v>
      </c>
      <c r="B162" t="n">
        <v>59</v>
      </c>
      <c r="C162" s="5" t="n">
        <v>4320</v>
      </c>
      <c r="D162" t="n">
        <v>0.024</v>
      </c>
      <c r="E162" t="n">
        <v>78</v>
      </c>
      <c r="F162" s="5" t="n">
        <v>43200</v>
      </c>
      <c r="G162">
        <f>MIN(65-B162, MAX(0, E162-B162))</f>
        <v/>
      </c>
      <c r="H162">
        <f>B162+G162</f>
        <v/>
      </c>
      <c r="I162" s="5">
        <f>F162*(1+D162)^G162</f>
        <v/>
      </c>
      <c r="J162">
        <f>(1+D162)/(1+Parameters!$B$5)</f>
        <v/>
      </c>
      <c r="K162" s="5">
        <f>IF(G162&gt;0, IF(ROUND(J162, 6)=1, G162 * C162 * (1+Parameters!$B$5)^-0.5, C162 * (1-J162^G162)/(1-J162) * (1+Parameters!$B$5)^-0.5), 0)</f>
        <v/>
      </c>
      <c r="L162" s="5">
        <f>K162*(1-Parameters!$B$4)</f>
        <v/>
      </c>
      <c r="M162" s="5">
        <f>L162*(1+Parameters!$B$5)^G162</f>
        <v/>
      </c>
      <c r="N162" s="5">
        <f>IF(E162&gt;=65, (65-B162)*I162/Parameters!$B$6, 0)</f>
        <v/>
      </c>
      <c r="O162">
        <f>IF(E162&gt;65, (1-(1+Parameters!$B$5)^-(E162-65))/Parameters!$B$5, 0)</f>
        <v/>
      </c>
      <c r="P162" s="5">
        <f>N162 * O162 * (1+Parameters!$B$5)^-(65-B162)</f>
        <v/>
      </c>
      <c r="Q162" s="5">
        <f>IF(AND(E162&gt;=66, E162&lt;=69), 5*N162*(1+Parameters!$B$5)^-(E162-B162), 0)</f>
        <v/>
      </c>
      <c r="R162" s="5">
        <f>IF(E162&lt;=65, L162, 0)</f>
        <v/>
      </c>
      <c r="S162" s="5">
        <f>N162 * (Parameters!$B$6 / Parameters!$B$9)</f>
        <v/>
      </c>
      <c r="T162" s="5">
        <f>P162 + Q162</f>
        <v/>
      </c>
      <c r="U162">
        <f>IF(E162&gt;65, (1-((1+Parameters!$B$10)/(1+Parameters!$B$5))^(E162-65))/(((1+Parameters!$B$5)/(1+Parameters!$B$10))-1), 0)</f>
        <v/>
      </c>
      <c r="V162" s="5">
        <f>S162 * U162 * (1+Parameters!$B$5)^-(65-B162)</f>
        <v/>
      </c>
      <c r="W162" s="5">
        <f>IF(AND(E162&gt;=66, E162&lt;=69), 5*S162*(1+Parameters!$B$5)^-(E162-B162), 0)</f>
        <v/>
      </c>
      <c r="X162" s="5">
        <f>V162 + W162 + R162</f>
        <v/>
      </c>
      <c r="Y162" s="5">
        <f>IF(E162&gt;=65, M162/S162, "")</f>
        <v/>
      </c>
    </row>
    <row r="163">
      <c r="A163" t="n">
        <v>162</v>
      </c>
      <c r="B163" t="n">
        <v>42</v>
      </c>
      <c r="C163" s="5" t="n">
        <v>1690</v>
      </c>
      <c r="D163" t="n">
        <v>0.0405</v>
      </c>
      <c r="E163" t="n">
        <v>77</v>
      </c>
      <c r="F163" s="5" t="n">
        <v>16900</v>
      </c>
      <c r="G163">
        <f>MIN(65-B163, MAX(0, E163-B163))</f>
        <v/>
      </c>
      <c r="H163">
        <f>B163+G163</f>
        <v/>
      </c>
      <c r="I163" s="5">
        <f>F163*(1+D163)^G163</f>
        <v/>
      </c>
      <c r="J163">
        <f>(1+D163)/(1+Parameters!$B$5)</f>
        <v/>
      </c>
      <c r="K163" s="5">
        <f>IF(G163&gt;0, IF(ROUND(J163, 6)=1, G163 * C163 * (1+Parameters!$B$5)^-0.5, C163 * (1-J163^G163)/(1-J163) * (1+Parameters!$B$5)^-0.5), 0)</f>
        <v/>
      </c>
      <c r="L163" s="5">
        <f>K163*(1-Parameters!$B$4)</f>
        <v/>
      </c>
      <c r="M163" s="5">
        <f>L163*(1+Parameters!$B$5)^G163</f>
        <v/>
      </c>
      <c r="N163" s="5">
        <f>IF(E163&gt;=65, (65-B163)*I163/Parameters!$B$6, 0)</f>
        <v/>
      </c>
      <c r="O163">
        <f>IF(E163&gt;65, (1-(1+Parameters!$B$5)^-(E163-65))/Parameters!$B$5, 0)</f>
        <v/>
      </c>
      <c r="P163" s="5">
        <f>N163 * O163 * (1+Parameters!$B$5)^-(65-B163)</f>
        <v/>
      </c>
      <c r="Q163" s="5">
        <f>IF(AND(E163&gt;=66, E163&lt;=69), 5*N163*(1+Parameters!$B$5)^-(E163-B163), 0)</f>
        <v/>
      </c>
      <c r="R163" s="5">
        <f>IF(E163&lt;=65, L163, 0)</f>
        <v/>
      </c>
      <c r="S163" s="5">
        <f>N163 * (Parameters!$B$6 / Parameters!$B$9)</f>
        <v/>
      </c>
      <c r="T163" s="5">
        <f>P163 + Q163</f>
        <v/>
      </c>
      <c r="U163">
        <f>IF(E163&gt;65, (1-((1+Parameters!$B$10)/(1+Parameters!$B$5))^(E163-65))/(((1+Parameters!$B$5)/(1+Parameters!$B$10))-1), 0)</f>
        <v/>
      </c>
      <c r="V163" s="5">
        <f>S163 * U163 * (1+Parameters!$B$5)^-(65-B163)</f>
        <v/>
      </c>
      <c r="W163" s="5">
        <f>IF(AND(E163&gt;=66, E163&lt;=69), 5*S163*(1+Parameters!$B$5)^-(E163-B163), 0)</f>
        <v/>
      </c>
      <c r="X163" s="5">
        <f>V163 + W163 + R163</f>
        <v/>
      </c>
      <c r="Y163" s="5">
        <f>IF(E163&gt;=65, M163/S163, "")</f>
        <v/>
      </c>
    </row>
    <row r="164">
      <c r="A164" t="n">
        <v>163</v>
      </c>
      <c r="B164" t="n">
        <v>22</v>
      </c>
      <c r="C164" s="5" t="n">
        <v>1700</v>
      </c>
      <c r="D164" t="n">
        <v>0.0172</v>
      </c>
      <c r="E164" t="n">
        <v>89</v>
      </c>
      <c r="F164" s="5" t="n">
        <v>17000</v>
      </c>
      <c r="G164">
        <f>MIN(65-B164, MAX(0, E164-B164))</f>
        <v/>
      </c>
      <c r="H164">
        <f>B164+G164</f>
        <v/>
      </c>
      <c r="I164" s="5">
        <f>F164*(1+D164)^G164</f>
        <v/>
      </c>
      <c r="J164">
        <f>(1+D164)/(1+Parameters!$B$5)</f>
        <v/>
      </c>
      <c r="K164" s="5">
        <f>IF(G164&gt;0, IF(ROUND(J164, 6)=1, G164 * C164 * (1+Parameters!$B$5)^-0.5, C164 * (1-J164^G164)/(1-J164) * (1+Parameters!$B$5)^-0.5), 0)</f>
        <v/>
      </c>
      <c r="L164" s="5">
        <f>K164*(1-Parameters!$B$4)</f>
        <v/>
      </c>
      <c r="M164" s="5">
        <f>L164*(1+Parameters!$B$5)^G164</f>
        <v/>
      </c>
      <c r="N164" s="5">
        <f>IF(E164&gt;=65, (65-B164)*I164/Parameters!$B$6, 0)</f>
        <v/>
      </c>
      <c r="O164">
        <f>IF(E164&gt;65, (1-(1+Parameters!$B$5)^-(E164-65))/Parameters!$B$5, 0)</f>
        <v/>
      </c>
      <c r="P164" s="5">
        <f>N164 * O164 * (1+Parameters!$B$5)^-(65-B164)</f>
        <v/>
      </c>
      <c r="Q164" s="5">
        <f>IF(AND(E164&gt;=66, E164&lt;=69), 5*N164*(1+Parameters!$B$5)^-(E164-B164), 0)</f>
        <v/>
      </c>
      <c r="R164" s="5">
        <f>IF(E164&lt;=65, L164, 0)</f>
        <v/>
      </c>
      <c r="S164" s="5">
        <f>N164 * (Parameters!$B$6 / Parameters!$B$9)</f>
        <v/>
      </c>
      <c r="T164" s="5">
        <f>P164 + Q164</f>
        <v/>
      </c>
      <c r="U164">
        <f>IF(E164&gt;65, (1-((1+Parameters!$B$10)/(1+Parameters!$B$5))^(E164-65))/(((1+Parameters!$B$5)/(1+Parameters!$B$10))-1), 0)</f>
        <v/>
      </c>
      <c r="V164" s="5">
        <f>S164 * U164 * (1+Parameters!$B$5)^-(65-B164)</f>
        <v/>
      </c>
      <c r="W164" s="5">
        <f>IF(AND(E164&gt;=66, E164&lt;=69), 5*S164*(1+Parameters!$B$5)^-(E164-B164), 0)</f>
        <v/>
      </c>
      <c r="X164" s="5">
        <f>V164 + W164 + R164</f>
        <v/>
      </c>
      <c r="Y164" s="5">
        <f>IF(E164&gt;=65, M164/S164, "")</f>
        <v/>
      </c>
    </row>
    <row r="165">
      <c r="A165" t="n">
        <v>164</v>
      </c>
      <c r="B165" t="n">
        <v>51</v>
      </c>
      <c r="C165" s="5" t="n">
        <v>1220</v>
      </c>
      <c r="D165" t="n">
        <v>0.0358</v>
      </c>
      <c r="E165" t="n">
        <v>79</v>
      </c>
      <c r="F165" s="5" t="n">
        <v>12200</v>
      </c>
      <c r="G165">
        <f>MIN(65-B165, MAX(0, E165-B165))</f>
        <v/>
      </c>
      <c r="H165">
        <f>B165+G165</f>
        <v/>
      </c>
      <c r="I165" s="5">
        <f>F165*(1+D165)^G165</f>
        <v/>
      </c>
      <c r="J165">
        <f>(1+D165)/(1+Parameters!$B$5)</f>
        <v/>
      </c>
      <c r="K165" s="5">
        <f>IF(G165&gt;0, IF(ROUND(J165, 6)=1, G165 * C165 * (1+Parameters!$B$5)^-0.5, C165 * (1-J165^G165)/(1-J165) * (1+Parameters!$B$5)^-0.5), 0)</f>
        <v/>
      </c>
      <c r="L165" s="5">
        <f>K165*(1-Parameters!$B$4)</f>
        <v/>
      </c>
      <c r="M165" s="5">
        <f>L165*(1+Parameters!$B$5)^G165</f>
        <v/>
      </c>
      <c r="N165" s="5">
        <f>IF(E165&gt;=65, (65-B165)*I165/Parameters!$B$6, 0)</f>
        <v/>
      </c>
      <c r="O165">
        <f>IF(E165&gt;65, (1-(1+Parameters!$B$5)^-(E165-65))/Parameters!$B$5, 0)</f>
        <v/>
      </c>
      <c r="P165" s="5">
        <f>N165 * O165 * (1+Parameters!$B$5)^-(65-B165)</f>
        <v/>
      </c>
      <c r="Q165" s="5">
        <f>IF(AND(E165&gt;=66, E165&lt;=69), 5*N165*(1+Parameters!$B$5)^-(E165-B165), 0)</f>
        <v/>
      </c>
      <c r="R165" s="5">
        <f>IF(E165&lt;=65, L165, 0)</f>
        <v/>
      </c>
      <c r="S165" s="5">
        <f>N165 * (Parameters!$B$6 / Parameters!$B$9)</f>
        <v/>
      </c>
      <c r="T165" s="5">
        <f>P165 + Q165</f>
        <v/>
      </c>
      <c r="U165">
        <f>IF(E165&gt;65, (1-((1+Parameters!$B$10)/(1+Parameters!$B$5))^(E165-65))/(((1+Parameters!$B$5)/(1+Parameters!$B$10))-1), 0)</f>
        <v/>
      </c>
      <c r="V165" s="5">
        <f>S165 * U165 * (1+Parameters!$B$5)^-(65-B165)</f>
        <v/>
      </c>
      <c r="W165" s="5">
        <f>IF(AND(E165&gt;=66, E165&lt;=69), 5*S165*(1+Parameters!$B$5)^-(E165-B165), 0)</f>
        <v/>
      </c>
      <c r="X165" s="5">
        <f>V165 + W165 + R165</f>
        <v/>
      </c>
      <c r="Y165" s="5">
        <f>IF(E165&gt;=65, M165/S165, "")</f>
        <v/>
      </c>
    </row>
    <row r="166">
      <c r="A166" t="n">
        <v>165</v>
      </c>
      <c r="B166" t="n">
        <v>57</v>
      </c>
      <c r="C166" s="5" t="n">
        <v>1440</v>
      </c>
      <c r="D166" t="n">
        <v>0.0189</v>
      </c>
      <c r="E166" t="n">
        <v>78</v>
      </c>
      <c r="F166" s="5" t="n">
        <v>14400</v>
      </c>
      <c r="G166">
        <f>MIN(65-B166, MAX(0, E166-B166))</f>
        <v/>
      </c>
      <c r="H166">
        <f>B166+G166</f>
        <v/>
      </c>
      <c r="I166" s="5">
        <f>F166*(1+D166)^G166</f>
        <v/>
      </c>
      <c r="J166">
        <f>(1+D166)/(1+Parameters!$B$5)</f>
        <v/>
      </c>
      <c r="K166" s="5">
        <f>IF(G166&gt;0, IF(ROUND(J166, 6)=1, G166 * C166 * (1+Parameters!$B$5)^-0.5, C166 * (1-J166^G166)/(1-J166) * (1+Parameters!$B$5)^-0.5), 0)</f>
        <v/>
      </c>
      <c r="L166" s="5">
        <f>K166*(1-Parameters!$B$4)</f>
        <v/>
      </c>
      <c r="M166" s="5">
        <f>L166*(1+Parameters!$B$5)^G166</f>
        <v/>
      </c>
      <c r="N166" s="5">
        <f>IF(E166&gt;=65, (65-B166)*I166/Parameters!$B$6, 0)</f>
        <v/>
      </c>
      <c r="O166">
        <f>IF(E166&gt;65, (1-(1+Parameters!$B$5)^-(E166-65))/Parameters!$B$5, 0)</f>
        <v/>
      </c>
      <c r="P166" s="5">
        <f>N166 * O166 * (1+Parameters!$B$5)^-(65-B166)</f>
        <v/>
      </c>
      <c r="Q166" s="5">
        <f>IF(AND(E166&gt;=66, E166&lt;=69), 5*N166*(1+Parameters!$B$5)^-(E166-B166), 0)</f>
        <v/>
      </c>
      <c r="R166" s="5">
        <f>IF(E166&lt;=65, L166, 0)</f>
        <v/>
      </c>
      <c r="S166" s="5">
        <f>N166 * (Parameters!$B$6 / Parameters!$B$9)</f>
        <v/>
      </c>
      <c r="T166" s="5">
        <f>P166 + Q166</f>
        <v/>
      </c>
      <c r="U166">
        <f>IF(E166&gt;65, (1-((1+Parameters!$B$10)/(1+Parameters!$B$5))^(E166-65))/(((1+Parameters!$B$5)/(1+Parameters!$B$10))-1), 0)</f>
        <v/>
      </c>
      <c r="V166" s="5">
        <f>S166 * U166 * (1+Parameters!$B$5)^-(65-B166)</f>
        <v/>
      </c>
      <c r="W166" s="5">
        <f>IF(AND(E166&gt;=66, E166&lt;=69), 5*S166*(1+Parameters!$B$5)^-(E166-B166), 0)</f>
        <v/>
      </c>
      <c r="X166" s="5">
        <f>V166 + W166 + R166</f>
        <v/>
      </c>
      <c r="Y166" s="5">
        <f>IF(E166&gt;=65, M166/S166, "")</f>
        <v/>
      </c>
    </row>
    <row r="167">
      <c r="A167" t="n">
        <v>166</v>
      </c>
      <c r="B167" t="n">
        <v>37</v>
      </c>
      <c r="C167" s="5" t="n">
        <v>1860</v>
      </c>
      <c r="D167" t="n">
        <v>0.0322</v>
      </c>
      <c r="E167" t="n">
        <v>87</v>
      </c>
      <c r="F167" s="5" t="n">
        <v>18600</v>
      </c>
      <c r="G167">
        <f>MIN(65-B167, MAX(0, E167-B167))</f>
        <v/>
      </c>
      <c r="H167">
        <f>B167+G167</f>
        <v/>
      </c>
      <c r="I167" s="5">
        <f>F167*(1+D167)^G167</f>
        <v/>
      </c>
      <c r="J167">
        <f>(1+D167)/(1+Parameters!$B$5)</f>
        <v/>
      </c>
      <c r="K167" s="5">
        <f>IF(G167&gt;0, IF(ROUND(J167, 6)=1, G167 * C167 * (1+Parameters!$B$5)^-0.5, C167 * (1-J167^G167)/(1-J167) * (1+Parameters!$B$5)^-0.5), 0)</f>
        <v/>
      </c>
      <c r="L167" s="5">
        <f>K167*(1-Parameters!$B$4)</f>
        <v/>
      </c>
      <c r="M167" s="5">
        <f>L167*(1+Parameters!$B$5)^G167</f>
        <v/>
      </c>
      <c r="N167" s="5">
        <f>IF(E167&gt;=65, (65-B167)*I167/Parameters!$B$6, 0)</f>
        <v/>
      </c>
      <c r="O167">
        <f>IF(E167&gt;65, (1-(1+Parameters!$B$5)^-(E167-65))/Parameters!$B$5, 0)</f>
        <v/>
      </c>
      <c r="P167" s="5">
        <f>N167 * O167 * (1+Parameters!$B$5)^-(65-B167)</f>
        <v/>
      </c>
      <c r="Q167" s="5">
        <f>IF(AND(E167&gt;=66, E167&lt;=69), 5*N167*(1+Parameters!$B$5)^-(E167-B167), 0)</f>
        <v/>
      </c>
      <c r="R167" s="5">
        <f>IF(E167&lt;=65, L167, 0)</f>
        <v/>
      </c>
      <c r="S167" s="5">
        <f>N167 * (Parameters!$B$6 / Parameters!$B$9)</f>
        <v/>
      </c>
      <c r="T167" s="5">
        <f>P167 + Q167</f>
        <v/>
      </c>
      <c r="U167">
        <f>IF(E167&gt;65, (1-((1+Parameters!$B$10)/(1+Parameters!$B$5))^(E167-65))/(((1+Parameters!$B$5)/(1+Parameters!$B$10))-1), 0)</f>
        <v/>
      </c>
      <c r="V167" s="5">
        <f>S167 * U167 * (1+Parameters!$B$5)^-(65-B167)</f>
        <v/>
      </c>
      <c r="W167" s="5">
        <f>IF(AND(E167&gt;=66, E167&lt;=69), 5*S167*(1+Parameters!$B$5)^-(E167-B167), 0)</f>
        <v/>
      </c>
      <c r="X167" s="5">
        <f>V167 + W167 + R167</f>
        <v/>
      </c>
      <c r="Y167" s="5">
        <f>IF(E167&gt;=65, M167/S167, "")</f>
        <v/>
      </c>
    </row>
    <row r="168">
      <c r="A168" t="n">
        <v>167</v>
      </c>
      <c r="B168" t="n">
        <v>59</v>
      </c>
      <c r="C168" s="5" t="n">
        <v>8030</v>
      </c>
      <c r="D168" t="n">
        <v>0.0131</v>
      </c>
      <c r="E168" t="n">
        <v>76</v>
      </c>
      <c r="F168" s="5" t="n">
        <v>80300</v>
      </c>
      <c r="G168">
        <f>MIN(65-B168, MAX(0, E168-B168))</f>
        <v/>
      </c>
      <c r="H168">
        <f>B168+G168</f>
        <v/>
      </c>
      <c r="I168" s="5">
        <f>F168*(1+D168)^G168</f>
        <v/>
      </c>
      <c r="J168">
        <f>(1+D168)/(1+Parameters!$B$5)</f>
        <v/>
      </c>
      <c r="K168" s="5">
        <f>IF(G168&gt;0, IF(ROUND(J168, 6)=1, G168 * C168 * (1+Parameters!$B$5)^-0.5, C168 * (1-J168^G168)/(1-J168) * (1+Parameters!$B$5)^-0.5), 0)</f>
        <v/>
      </c>
      <c r="L168" s="5">
        <f>K168*(1-Parameters!$B$4)</f>
        <v/>
      </c>
      <c r="M168" s="5">
        <f>L168*(1+Parameters!$B$5)^G168</f>
        <v/>
      </c>
      <c r="N168" s="5">
        <f>IF(E168&gt;=65, (65-B168)*I168/Parameters!$B$6, 0)</f>
        <v/>
      </c>
      <c r="O168">
        <f>IF(E168&gt;65, (1-(1+Parameters!$B$5)^-(E168-65))/Parameters!$B$5, 0)</f>
        <v/>
      </c>
      <c r="P168" s="5">
        <f>N168 * O168 * (1+Parameters!$B$5)^-(65-B168)</f>
        <v/>
      </c>
      <c r="Q168" s="5">
        <f>IF(AND(E168&gt;=66, E168&lt;=69), 5*N168*(1+Parameters!$B$5)^-(E168-B168), 0)</f>
        <v/>
      </c>
      <c r="R168" s="5">
        <f>IF(E168&lt;=65, L168, 0)</f>
        <v/>
      </c>
      <c r="S168" s="5">
        <f>N168 * (Parameters!$B$6 / Parameters!$B$9)</f>
        <v/>
      </c>
      <c r="T168" s="5">
        <f>P168 + Q168</f>
        <v/>
      </c>
      <c r="U168">
        <f>IF(E168&gt;65, (1-((1+Parameters!$B$10)/(1+Parameters!$B$5))^(E168-65))/(((1+Parameters!$B$5)/(1+Parameters!$B$10))-1), 0)</f>
        <v/>
      </c>
      <c r="V168" s="5">
        <f>S168 * U168 * (1+Parameters!$B$5)^-(65-B168)</f>
        <v/>
      </c>
      <c r="W168" s="5">
        <f>IF(AND(E168&gt;=66, E168&lt;=69), 5*S168*(1+Parameters!$B$5)^-(E168-B168), 0)</f>
        <v/>
      </c>
      <c r="X168" s="5">
        <f>V168 + W168 + R168</f>
        <v/>
      </c>
      <c r="Y168" s="5">
        <f>IF(E168&gt;=65, M168/S168, "")</f>
        <v/>
      </c>
    </row>
    <row r="169">
      <c r="A169" t="n">
        <v>168</v>
      </c>
      <c r="B169" t="n">
        <v>49</v>
      </c>
      <c r="C169" s="5" t="n">
        <v>10990</v>
      </c>
      <c r="D169" t="n">
        <v>0.0333</v>
      </c>
      <c r="E169" t="n">
        <v>84</v>
      </c>
      <c r="F169" s="5" t="n">
        <v>109900</v>
      </c>
      <c r="G169">
        <f>MIN(65-B169, MAX(0, E169-B169))</f>
        <v/>
      </c>
      <c r="H169">
        <f>B169+G169</f>
        <v/>
      </c>
      <c r="I169" s="5">
        <f>F169*(1+D169)^G169</f>
        <v/>
      </c>
      <c r="J169">
        <f>(1+D169)/(1+Parameters!$B$5)</f>
        <v/>
      </c>
      <c r="K169" s="5">
        <f>IF(G169&gt;0, IF(ROUND(J169, 6)=1, G169 * C169 * (1+Parameters!$B$5)^-0.5, C169 * (1-J169^G169)/(1-J169) * (1+Parameters!$B$5)^-0.5), 0)</f>
        <v/>
      </c>
      <c r="L169" s="5">
        <f>K169*(1-Parameters!$B$4)</f>
        <v/>
      </c>
      <c r="M169" s="5">
        <f>L169*(1+Parameters!$B$5)^G169</f>
        <v/>
      </c>
      <c r="N169" s="5">
        <f>IF(E169&gt;=65, (65-B169)*I169/Parameters!$B$6, 0)</f>
        <v/>
      </c>
      <c r="O169">
        <f>IF(E169&gt;65, (1-(1+Parameters!$B$5)^-(E169-65))/Parameters!$B$5, 0)</f>
        <v/>
      </c>
      <c r="P169" s="5">
        <f>N169 * O169 * (1+Parameters!$B$5)^-(65-B169)</f>
        <v/>
      </c>
      <c r="Q169" s="5">
        <f>IF(AND(E169&gt;=66, E169&lt;=69), 5*N169*(1+Parameters!$B$5)^-(E169-B169), 0)</f>
        <v/>
      </c>
      <c r="R169" s="5">
        <f>IF(E169&lt;=65, L169, 0)</f>
        <v/>
      </c>
      <c r="S169" s="5">
        <f>N169 * (Parameters!$B$6 / Parameters!$B$9)</f>
        <v/>
      </c>
      <c r="T169" s="5">
        <f>P169 + Q169</f>
        <v/>
      </c>
      <c r="U169">
        <f>IF(E169&gt;65, (1-((1+Parameters!$B$10)/(1+Parameters!$B$5))^(E169-65))/(((1+Parameters!$B$5)/(1+Parameters!$B$10))-1), 0)</f>
        <v/>
      </c>
      <c r="V169" s="5">
        <f>S169 * U169 * (1+Parameters!$B$5)^-(65-B169)</f>
        <v/>
      </c>
      <c r="W169" s="5">
        <f>IF(AND(E169&gt;=66, E169&lt;=69), 5*S169*(1+Parameters!$B$5)^-(E169-B169), 0)</f>
        <v/>
      </c>
      <c r="X169" s="5">
        <f>V169 + W169 + R169</f>
        <v/>
      </c>
      <c r="Y169" s="5">
        <f>IF(E169&gt;=65, M169/S169, "")</f>
        <v/>
      </c>
    </row>
    <row r="170">
      <c r="A170" t="n">
        <v>169</v>
      </c>
      <c r="B170" t="n">
        <v>22</v>
      </c>
      <c r="C170" s="5" t="n">
        <v>1810</v>
      </c>
      <c r="D170" t="n">
        <v>0.0086</v>
      </c>
      <c r="E170" t="n">
        <v>100</v>
      </c>
      <c r="F170" s="5" t="n">
        <v>18100</v>
      </c>
      <c r="G170">
        <f>MIN(65-B170, MAX(0, E170-B170))</f>
        <v/>
      </c>
      <c r="H170">
        <f>B170+G170</f>
        <v/>
      </c>
      <c r="I170" s="5">
        <f>F170*(1+D170)^G170</f>
        <v/>
      </c>
      <c r="J170">
        <f>(1+D170)/(1+Parameters!$B$5)</f>
        <v/>
      </c>
      <c r="K170" s="5">
        <f>IF(G170&gt;0, IF(ROUND(J170, 6)=1, G170 * C170 * (1+Parameters!$B$5)^-0.5, C170 * (1-J170^G170)/(1-J170) * (1+Parameters!$B$5)^-0.5), 0)</f>
        <v/>
      </c>
      <c r="L170" s="5">
        <f>K170*(1-Parameters!$B$4)</f>
        <v/>
      </c>
      <c r="M170" s="5">
        <f>L170*(1+Parameters!$B$5)^G170</f>
        <v/>
      </c>
      <c r="N170" s="5">
        <f>IF(E170&gt;=65, (65-B170)*I170/Parameters!$B$6, 0)</f>
        <v/>
      </c>
      <c r="O170">
        <f>IF(E170&gt;65, (1-(1+Parameters!$B$5)^-(E170-65))/Parameters!$B$5, 0)</f>
        <v/>
      </c>
      <c r="P170" s="5">
        <f>N170 * O170 * (1+Parameters!$B$5)^-(65-B170)</f>
        <v/>
      </c>
      <c r="Q170" s="5">
        <f>IF(AND(E170&gt;=66, E170&lt;=69), 5*N170*(1+Parameters!$B$5)^-(E170-B170), 0)</f>
        <v/>
      </c>
      <c r="R170" s="5">
        <f>IF(E170&lt;=65, L170, 0)</f>
        <v/>
      </c>
      <c r="S170" s="5">
        <f>N170 * (Parameters!$B$6 / Parameters!$B$9)</f>
        <v/>
      </c>
      <c r="T170" s="5">
        <f>P170 + Q170</f>
        <v/>
      </c>
      <c r="U170">
        <f>IF(E170&gt;65, (1-((1+Parameters!$B$10)/(1+Parameters!$B$5))^(E170-65))/(((1+Parameters!$B$5)/(1+Parameters!$B$10))-1), 0)</f>
        <v/>
      </c>
      <c r="V170" s="5">
        <f>S170 * U170 * (1+Parameters!$B$5)^-(65-B170)</f>
        <v/>
      </c>
      <c r="W170" s="5">
        <f>IF(AND(E170&gt;=66, E170&lt;=69), 5*S170*(1+Parameters!$B$5)^-(E170-B170), 0)</f>
        <v/>
      </c>
      <c r="X170" s="5">
        <f>V170 + W170 + R170</f>
        <v/>
      </c>
      <c r="Y170" s="5">
        <f>IF(E170&gt;=65, M170/S170, "")</f>
        <v/>
      </c>
    </row>
    <row r="171">
      <c r="A171" t="n">
        <v>170</v>
      </c>
      <c r="B171" t="n">
        <v>38</v>
      </c>
      <c r="C171" s="5" t="n">
        <v>6130</v>
      </c>
      <c r="D171" t="n">
        <v>0.0363</v>
      </c>
      <c r="E171" t="n">
        <v>65</v>
      </c>
      <c r="F171" s="5" t="n">
        <v>61300</v>
      </c>
      <c r="G171">
        <f>MIN(65-B171, MAX(0, E171-B171))</f>
        <v/>
      </c>
      <c r="H171">
        <f>B171+G171</f>
        <v/>
      </c>
      <c r="I171" s="5">
        <f>F171*(1+D171)^G171</f>
        <v/>
      </c>
      <c r="J171">
        <f>(1+D171)/(1+Parameters!$B$5)</f>
        <v/>
      </c>
      <c r="K171" s="5">
        <f>IF(G171&gt;0, IF(ROUND(J171, 6)=1, G171 * C171 * (1+Parameters!$B$5)^-0.5, C171 * (1-J171^G171)/(1-J171) * (1+Parameters!$B$5)^-0.5), 0)</f>
        <v/>
      </c>
      <c r="L171" s="5">
        <f>K171*(1-Parameters!$B$4)</f>
        <v/>
      </c>
      <c r="M171" s="5">
        <f>L171*(1+Parameters!$B$5)^G171</f>
        <v/>
      </c>
      <c r="N171" s="5">
        <f>IF(E171&gt;=65, (65-B171)*I171/Parameters!$B$6, 0)</f>
        <v/>
      </c>
      <c r="O171">
        <f>IF(E171&gt;65, (1-(1+Parameters!$B$5)^-(E171-65))/Parameters!$B$5, 0)</f>
        <v/>
      </c>
      <c r="P171" s="5">
        <f>N171 * O171 * (1+Parameters!$B$5)^-(65-B171)</f>
        <v/>
      </c>
      <c r="Q171" s="5">
        <f>IF(AND(E171&gt;=66, E171&lt;=69), 5*N171*(1+Parameters!$B$5)^-(E171-B171), 0)</f>
        <v/>
      </c>
      <c r="R171" s="5">
        <f>IF(E171&lt;=65, L171, 0)</f>
        <v/>
      </c>
      <c r="S171" s="5">
        <f>N171 * (Parameters!$B$6 / Parameters!$B$9)</f>
        <v/>
      </c>
      <c r="T171" s="5">
        <f>P171 + Q171</f>
        <v/>
      </c>
      <c r="U171">
        <f>IF(E171&gt;65, (1-((1+Parameters!$B$10)/(1+Parameters!$B$5))^(E171-65))/(((1+Parameters!$B$5)/(1+Parameters!$B$10))-1), 0)</f>
        <v/>
      </c>
      <c r="V171" s="5">
        <f>S171 * U171 * (1+Parameters!$B$5)^-(65-B171)</f>
        <v/>
      </c>
      <c r="W171" s="5">
        <f>IF(AND(E171&gt;=66, E171&lt;=69), 5*S171*(1+Parameters!$B$5)^-(E171-B171), 0)</f>
        <v/>
      </c>
      <c r="X171" s="5">
        <f>V171 + W171 + R171</f>
        <v/>
      </c>
      <c r="Y171" s="5">
        <f>IF(E171&gt;=65, M171/S171, "")</f>
        <v/>
      </c>
    </row>
    <row r="172">
      <c r="A172" t="n">
        <v>171</v>
      </c>
      <c r="B172" t="n">
        <v>53</v>
      </c>
      <c r="C172" s="5" t="n">
        <v>11050</v>
      </c>
      <c r="D172" t="n">
        <v>0.0122</v>
      </c>
      <c r="E172" t="n">
        <v>80</v>
      </c>
      <c r="F172" s="5" t="n">
        <v>110500</v>
      </c>
      <c r="G172">
        <f>MIN(65-B172, MAX(0, E172-B172))</f>
        <v/>
      </c>
      <c r="H172">
        <f>B172+G172</f>
        <v/>
      </c>
      <c r="I172" s="5">
        <f>F172*(1+D172)^G172</f>
        <v/>
      </c>
      <c r="J172">
        <f>(1+D172)/(1+Parameters!$B$5)</f>
        <v/>
      </c>
      <c r="K172" s="5">
        <f>IF(G172&gt;0, IF(ROUND(J172, 6)=1, G172 * C172 * (1+Parameters!$B$5)^-0.5, C172 * (1-J172^G172)/(1-J172) * (1+Parameters!$B$5)^-0.5), 0)</f>
        <v/>
      </c>
      <c r="L172" s="5">
        <f>K172*(1-Parameters!$B$4)</f>
        <v/>
      </c>
      <c r="M172" s="5">
        <f>L172*(1+Parameters!$B$5)^G172</f>
        <v/>
      </c>
      <c r="N172" s="5">
        <f>IF(E172&gt;=65, (65-B172)*I172/Parameters!$B$6, 0)</f>
        <v/>
      </c>
      <c r="O172">
        <f>IF(E172&gt;65, (1-(1+Parameters!$B$5)^-(E172-65))/Parameters!$B$5, 0)</f>
        <v/>
      </c>
      <c r="P172" s="5">
        <f>N172 * O172 * (1+Parameters!$B$5)^-(65-B172)</f>
        <v/>
      </c>
      <c r="Q172" s="5">
        <f>IF(AND(E172&gt;=66, E172&lt;=69), 5*N172*(1+Parameters!$B$5)^-(E172-B172), 0)</f>
        <v/>
      </c>
      <c r="R172" s="5">
        <f>IF(E172&lt;=65, L172, 0)</f>
        <v/>
      </c>
      <c r="S172" s="5">
        <f>N172 * (Parameters!$B$6 / Parameters!$B$9)</f>
        <v/>
      </c>
      <c r="T172" s="5">
        <f>P172 + Q172</f>
        <v/>
      </c>
      <c r="U172">
        <f>IF(E172&gt;65, (1-((1+Parameters!$B$10)/(1+Parameters!$B$5))^(E172-65))/(((1+Parameters!$B$5)/(1+Parameters!$B$10))-1), 0)</f>
        <v/>
      </c>
      <c r="V172" s="5">
        <f>S172 * U172 * (1+Parameters!$B$5)^-(65-B172)</f>
        <v/>
      </c>
      <c r="W172" s="5">
        <f>IF(AND(E172&gt;=66, E172&lt;=69), 5*S172*(1+Parameters!$B$5)^-(E172-B172), 0)</f>
        <v/>
      </c>
      <c r="X172" s="5">
        <f>V172 + W172 + R172</f>
        <v/>
      </c>
      <c r="Y172" s="5">
        <f>IF(E172&gt;=65, M172/S172, "")</f>
        <v/>
      </c>
    </row>
    <row r="173">
      <c r="A173" t="n">
        <v>172</v>
      </c>
      <c r="B173" t="n">
        <v>47</v>
      </c>
      <c r="C173" s="5" t="n">
        <v>1600</v>
      </c>
      <c r="D173" t="n">
        <v>0.0155</v>
      </c>
      <c r="E173" t="n">
        <v>80</v>
      </c>
      <c r="F173" s="5" t="n">
        <v>16000</v>
      </c>
      <c r="G173">
        <f>MIN(65-B173, MAX(0, E173-B173))</f>
        <v/>
      </c>
      <c r="H173">
        <f>B173+G173</f>
        <v/>
      </c>
      <c r="I173" s="5">
        <f>F173*(1+D173)^G173</f>
        <v/>
      </c>
      <c r="J173">
        <f>(1+D173)/(1+Parameters!$B$5)</f>
        <v/>
      </c>
      <c r="K173" s="5">
        <f>IF(G173&gt;0, IF(ROUND(J173, 6)=1, G173 * C173 * (1+Parameters!$B$5)^-0.5, C173 * (1-J173^G173)/(1-J173) * (1+Parameters!$B$5)^-0.5), 0)</f>
        <v/>
      </c>
      <c r="L173" s="5">
        <f>K173*(1-Parameters!$B$4)</f>
        <v/>
      </c>
      <c r="M173" s="5">
        <f>L173*(1+Parameters!$B$5)^G173</f>
        <v/>
      </c>
      <c r="N173" s="5">
        <f>IF(E173&gt;=65, (65-B173)*I173/Parameters!$B$6, 0)</f>
        <v/>
      </c>
      <c r="O173">
        <f>IF(E173&gt;65, (1-(1+Parameters!$B$5)^-(E173-65))/Parameters!$B$5, 0)</f>
        <v/>
      </c>
      <c r="P173" s="5">
        <f>N173 * O173 * (1+Parameters!$B$5)^-(65-B173)</f>
        <v/>
      </c>
      <c r="Q173" s="5">
        <f>IF(AND(E173&gt;=66, E173&lt;=69), 5*N173*(1+Parameters!$B$5)^-(E173-B173), 0)</f>
        <v/>
      </c>
      <c r="R173" s="5">
        <f>IF(E173&lt;=65, L173, 0)</f>
        <v/>
      </c>
      <c r="S173" s="5">
        <f>N173 * (Parameters!$B$6 / Parameters!$B$9)</f>
        <v/>
      </c>
      <c r="T173" s="5">
        <f>P173 + Q173</f>
        <v/>
      </c>
      <c r="U173">
        <f>IF(E173&gt;65, (1-((1+Parameters!$B$10)/(1+Parameters!$B$5))^(E173-65))/(((1+Parameters!$B$5)/(1+Parameters!$B$10))-1), 0)</f>
        <v/>
      </c>
      <c r="V173" s="5">
        <f>S173 * U173 * (1+Parameters!$B$5)^-(65-B173)</f>
        <v/>
      </c>
      <c r="W173" s="5">
        <f>IF(AND(E173&gt;=66, E173&lt;=69), 5*S173*(1+Parameters!$B$5)^-(E173-B173), 0)</f>
        <v/>
      </c>
      <c r="X173" s="5">
        <f>V173 + W173 + R173</f>
        <v/>
      </c>
      <c r="Y173" s="5">
        <f>IF(E173&gt;=65, M173/S173, "")</f>
        <v/>
      </c>
    </row>
    <row r="174">
      <c r="A174" t="n">
        <v>173</v>
      </c>
      <c r="B174" t="n">
        <v>22</v>
      </c>
      <c r="C174" s="5" t="n">
        <v>1560</v>
      </c>
      <c r="D174" t="n">
        <v>0.0574</v>
      </c>
      <c r="E174" t="n">
        <v>76</v>
      </c>
      <c r="F174" s="5" t="n">
        <v>15600</v>
      </c>
      <c r="G174">
        <f>MIN(65-B174, MAX(0, E174-B174))</f>
        <v/>
      </c>
      <c r="H174">
        <f>B174+G174</f>
        <v/>
      </c>
      <c r="I174" s="5">
        <f>F174*(1+D174)^G174</f>
        <v/>
      </c>
      <c r="J174">
        <f>(1+D174)/(1+Parameters!$B$5)</f>
        <v/>
      </c>
      <c r="K174" s="5">
        <f>IF(G174&gt;0, IF(ROUND(J174, 6)=1, G174 * C174 * (1+Parameters!$B$5)^-0.5, C174 * (1-J174^G174)/(1-J174) * (1+Parameters!$B$5)^-0.5), 0)</f>
        <v/>
      </c>
      <c r="L174" s="5">
        <f>K174*(1-Parameters!$B$4)</f>
        <v/>
      </c>
      <c r="M174" s="5">
        <f>L174*(1+Parameters!$B$5)^G174</f>
        <v/>
      </c>
      <c r="N174" s="5">
        <f>IF(E174&gt;=65, (65-B174)*I174/Parameters!$B$6, 0)</f>
        <v/>
      </c>
      <c r="O174">
        <f>IF(E174&gt;65, (1-(1+Parameters!$B$5)^-(E174-65))/Parameters!$B$5, 0)</f>
        <v/>
      </c>
      <c r="P174" s="5">
        <f>N174 * O174 * (1+Parameters!$B$5)^-(65-B174)</f>
        <v/>
      </c>
      <c r="Q174" s="5">
        <f>IF(AND(E174&gt;=66, E174&lt;=69), 5*N174*(1+Parameters!$B$5)^-(E174-B174), 0)</f>
        <v/>
      </c>
      <c r="R174" s="5">
        <f>IF(E174&lt;=65, L174, 0)</f>
        <v/>
      </c>
      <c r="S174" s="5">
        <f>N174 * (Parameters!$B$6 / Parameters!$B$9)</f>
        <v/>
      </c>
      <c r="T174" s="5">
        <f>P174 + Q174</f>
        <v/>
      </c>
      <c r="U174">
        <f>IF(E174&gt;65, (1-((1+Parameters!$B$10)/(1+Parameters!$B$5))^(E174-65))/(((1+Parameters!$B$5)/(1+Parameters!$B$10))-1), 0)</f>
        <v/>
      </c>
      <c r="V174" s="5">
        <f>S174 * U174 * (1+Parameters!$B$5)^-(65-B174)</f>
        <v/>
      </c>
      <c r="W174" s="5">
        <f>IF(AND(E174&gt;=66, E174&lt;=69), 5*S174*(1+Parameters!$B$5)^-(E174-B174), 0)</f>
        <v/>
      </c>
      <c r="X174" s="5">
        <f>V174 + W174 + R174</f>
        <v/>
      </c>
      <c r="Y174" s="5">
        <f>IF(E174&gt;=65, M174/S174, "")</f>
        <v/>
      </c>
    </row>
    <row r="175">
      <c r="A175" t="n">
        <v>174</v>
      </c>
      <c r="B175" t="n">
        <v>18</v>
      </c>
      <c r="C175" s="5" t="n">
        <v>2010</v>
      </c>
      <c r="D175" t="n">
        <v>0.0551</v>
      </c>
      <c r="E175" t="n">
        <v>105</v>
      </c>
      <c r="F175" s="5" t="n">
        <v>20100</v>
      </c>
      <c r="G175">
        <f>MIN(65-B175, MAX(0, E175-B175))</f>
        <v/>
      </c>
      <c r="H175">
        <f>B175+G175</f>
        <v/>
      </c>
      <c r="I175" s="5">
        <f>F175*(1+D175)^G175</f>
        <v/>
      </c>
      <c r="J175">
        <f>(1+D175)/(1+Parameters!$B$5)</f>
        <v/>
      </c>
      <c r="K175" s="5">
        <f>IF(G175&gt;0, IF(ROUND(J175, 6)=1, G175 * C175 * (1+Parameters!$B$5)^-0.5, C175 * (1-J175^G175)/(1-J175) * (1+Parameters!$B$5)^-0.5), 0)</f>
        <v/>
      </c>
      <c r="L175" s="5">
        <f>K175*(1-Parameters!$B$4)</f>
        <v/>
      </c>
      <c r="M175" s="5">
        <f>L175*(1+Parameters!$B$5)^G175</f>
        <v/>
      </c>
      <c r="N175" s="5">
        <f>IF(E175&gt;=65, (65-B175)*I175/Parameters!$B$6, 0)</f>
        <v/>
      </c>
      <c r="O175">
        <f>IF(E175&gt;65, (1-(1+Parameters!$B$5)^-(E175-65))/Parameters!$B$5, 0)</f>
        <v/>
      </c>
      <c r="P175" s="5">
        <f>N175 * O175 * (1+Parameters!$B$5)^-(65-B175)</f>
        <v/>
      </c>
      <c r="Q175" s="5">
        <f>IF(AND(E175&gt;=66, E175&lt;=69), 5*N175*(1+Parameters!$B$5)^-(E175-B175), 0)</f>
        <v/>
      </c>
      <c r="R175" s="5">
        <f>IF(E175&lt;=65, L175, 0)</f>
        <v/>
      </c>
      <c r="S175" s="5">
        <f>N175 * (Parameters!$B$6 / Parameters!$B$9)</f>
        <v/>
      </c>
      <c r="T175" s="5">
        <f>P175 + Q175</f>
        <v/>
      </c>
      <c r="U175">
        <f>IF(E175&gt;65, (1-((1+Parameters!$B$10)/(1+Parameters!$B$5))^(E175-65))/(((1+Parameters!$B$5)/(1+Parameters!$B$10))-1), 0)</f>
        <v/>
      </c>
      <c r="V175" s="5">
        <f>S175 * U175 * (1+Parameters!$B$5)^-(65-B175)</f>
        <v/>
      </c>
      <c r="W175" s="5">
        <f>IF(AND(E175&gt;=66, E175&lt;=69), 5*S175*(1+Parameters!$B$5)^-(E175-B175), 0)</f>
        <v/>
      </c>
      <c r="X175" s="5">
        <f>V175 + W175 + R175</f>
        <v/>
      </c>
      <c r="Y175" s="5">
        <f>IF(E175&gt;=65, M175/S175, "")</f>
        <v/>
      </c>
    </row>
    <row r="176">
      <c r="A176" t="n">
        <v>175</v>
      </c>
      <c r="B176" t="n">
        <v>26</v>
      </c>
      <c r="C176" s="5" t="n">
        <v>4290</v>
      </c>
      <c r="D176" t="n">
        <v>0.0282</v>
      </c>
      <c r="E176" t="n">
        <v>90</v>
      </c>
      <c r="F176" s="5" t="n">
        <v>42900</v>
      </c>
      <c r="G176">
        <f>MIN(65-B176, MAX(0, E176-B176))</f>
        <v/>
      </c>
      <c r="H176">
        <f>B176+G176</f>
        <v/>
      </c>
      <c r="I176" s="5">
        <f>F176*(1+D176)^G176</f>
        <v/>
      </c>
      <c r="J176">
        <f>(1+D176)/(1+Parameters!$B$5)</f>
        <v/>
      </c>
      <c r="K176" s="5">
        <f>IF(G176&gt;0, IF(ROUND(J176, 6)=1, G176 * C176 * (1+Parameters!$B$5)^-0.5, C176 * (1-J176^G176)/(1-J176) * (1+Parameters!$B$5)^-0.5), 0)</f>
        <v/>
      </c>
      <c r="L176" s="5">
        <f>K176*(1-Parameters!$B$4)</f>
        <v/>
      </c>
      <c r="M176" s="5">
        <f>L176*(1+Parameters!$B$5)^G176</f>
        <v/>
      </c>
      <c r="N176" s="5">
        <f>IF(E176&gt;=65, (65-B176)*I176/Parameters!$B$6, 0)</f>
        <v/>
      </c>
      <c r="O176">
        <f>IF(E176&gt;65, (1-(1+Parameters!$B$5)^-(E176-65))/Parameters!$B$5, 0)</f>
        <v/>
      </c>
      <c r="P176" s="5">
        <f>N176 * O176 * (1+Parameters!$B$5)^-(65-B176)</f>
        <v/>
      </c>
      <c r="Q176" s="5">
        <f>IF(AND(E176&gt;=66, E176&lt;=69), 5*N176*(1+Parameters!$B$5)^-(E176-B176), 0)</f>
        <v/>
      </c>
      <c r="R176" s="5">
        <f>IF(E176&lt;=65, L176, 0)</f>
        <v/>
      </c>
      <c r="S176" s="5">
        <f>N176 * (Parameters!$B$6 / Parameters!$B$9)</f>
        <v/>
      </c>
      <c r="T176" s="5">
        <f>P176 + Q176</f>
        <v/>
      </c>
      <c r="U176">
        <f>IF(E176&gt;65, (1-((1+Parameters!$B$10)/(1+Parameters!$B$5))^(E176-65))/(((1+Parameters!$B$5)/(1+Parameters!$B$10))-1), 0)</f>
        <v/>
      </c>
      <c r="V176" s="5">
        <f>S176 * U176 * (1+Parameters!$B$5)^-(65-B176)</f>
        <v/>
      </c>
      <c r="W176" s="5">
        <f>IF(AND(E176&gt;=66, E176&lt;=69), 5*S176*(1+Parameters!$B$5)^-(E176-B176), 0)</f>
        <v/>
      </c>
      <c r="X176" s="5">
        <f>V176 + W176 + R176</f>
        <v/>
      </c>
      <c r="Y176" s="5">
        <f>IF(E176&gt;=65, M176/S176, "")</f>
        <v/>
      </c>
    </row>
    <row r="177">
      <c r="A177" t="n">
        <v>176</v>
      </c>
      <c r="B177" t="n">
        <v>32</v>
      </c>
      <c r="C177" s="5" t="n">
        <v>1800</v>
      </c>
      <c r="D177" t="n">
        <v>0.0091</v>
      </c>
      <c r="E177" t="n">
        <v>71</v>
      </c>
      <c r="F177" s="5" t="n">
        <v>18000</v>
      </c>
      <c r="G177">
        <f>MIN(65-B177, MAX(0, E177-B177))</f>
        <v/>
      </c>
      <c r="H177">
        <f>B177+G177</f>
        <v/>
      </c>
      <c r="I177" s="5">
        <f>F177*(1+D177)^G177</f>
        <v/>
      </c>
      <c r="J177">
        <f>(1+D177)/(1+Parameters!$B$5)</f>
        <v/>
      </c>
      <c r="K177" s="5">
        <f>IF(G177&gt;0, IF(ROUND(J177, 6)=1, G177 * C177 * (1+Parameters!$B$5)^-0.5, C177 * (1-J177^G177)/(1-J177) * (1+Parameters!$B$5)^-0.5), 0)</f>
        <v/>
      </c>
      <c r="L177" s="5">
        <f>K177*(1-Parameters!$B$4)</f>
        <v/>
      </c>
      <c r="M177" s="5">
        <f>L177*(1+Parameters!$B$5)^G177</f>
        <v/>
      </c>
      <c r="N177" s="5">
        <f>IF(E177&gt;=65, (65-B177)*I177/Parameters!$B$6, 0)</f>
        <v/>
      </c>
      <c r="O177">
        <f>IF(E177&gt;65, (1-(1+Parameters!$B$5)^-(E177-65))/Parameters!$B$5, 0)</f>
        <v/>
      </c>
      <c r="P177" s="5">
        <f>N177 * O177 * (1+Parameters!$B$5)^-(65-B177)</f>
        <v/>
      </c>
      <c r="Q177" s="5">
        <f>IF(AND(E177&gt;=66, E177&lt;=69), 5*N177*(1+Parameters!$B$5)^-(E177-B177), 0)</f>
        <v/>
      </c>
      <c r="R177" s="5">
        <f>IF(E177&lt;=65, L177, 0)</f>
        <v/>
      </c>
      <c r="S177" s="5">
        <f>N177 * (Parameters!$B$6 / Parameters!$B$9)</f>
        <v/>
      </c>
      <c r="T177" s="5">
        <f>P177 + Q177</f>
        <v/>
      </c>
      <c r="U177">
        <f>IF(E177&gt;65, (1-((1+Parameters!$B$10)/(1+Parameters!$B$5))^(E177-65))/(((1+Parameters!$B$5)/(1+Parameters!$B$10))-1), 0)</f>
        <v/>
      </c>
      <c r="V177" s="5">
        <f>S177 * U177 * (1+Parameters!$B$5)^-(65-B177)</f>
        <v/>
      </c>
      <c r="W177" s="5">
        <f>IF(AND(E177&gt;=66, E177&lt;=69), 5*S177*(1+Parameters!$B$5)^-(E177-B177), 0)</f>
        <v/>
      </c>
      <c r="X177" s="5">
        <f>V177 + W177 + R177</f>
        <v/>
      </c>
      <c r="Y177" s="5">
        <f>IF(E177&gt;=65, M177/S177, "")</f>
        <v/>
      </c>
    </row>
    <row r="178">
      <c r="A178" t="n">
        <v>177</v>
      </c>
      <c r="B178" t="n">
        <v>44</v>
      </c>
      <c r="C178" s="5" t="n">
        <v>4710</v>
      </c>
      <c r="D178" t="n">
        <v>0.024</v>
      </c>
      <c r="E178" t="n">
        <v>81</v>
      </c>
      <c r="F178" s="5" t="n">
        <v>47100</v>
      </c>
      <c r="G178">
        <f>MIN(65-B178, MAX(0, E178-B178))</f>
        <v/>
      </c>
      <c r="H178">
        <f>B178+G178</f>
        <v/>
      </c>
      <c r="I178" s="5">
        <f>F178*(1+D178)^G178</f>
        <v/>
      </c>
      <c r="J178">
        <f>(1+D178)/(1+Parameters!$B$5)</f>
        <v/>
      </c>
      <c r="K178" s="5">
        <f>IF(G178&gt;0, IF(ROUND(J178, 6)=1, G178 * C178 * (1+Parameters!$B$5)^-0.5, C178 * (1-J178^G178)/(1-J178) * (1+Parameters!$B$5)^-0.5), 0)</f>
        <v/>
      </c>
      <c r="L178" s="5">
        <f>K178*(1-Parameters!$B$4)</f>
        <v/>
      </c>
      <c r="M178" s="5">
        <f>L178*(1+Parameters!$B$5)^G178</f>
        <v/>
      </c>
      <c r="N178" s="5">
        <f>IF(E178&gt;=65, (65-B178)*I178/Parameters!$B$6, 0)</f>
        <v/>
      </c>
      <c r="O178">
        <f>IF(E178&gt;65, (1-(1+Parameters!$B$5)^-(E178-65))/Parameters!$B$5, 0)</f>
        <v/>
      </c>
      <c r="P178" s="5">
        <f>N178 * O178 * (1+Parameters!$B$5)^-(65-B178)</f>
        <v/>
      </c>
      <c r="Q178" s="5">
        <f>IF(AND(E178&gt;=66, E178&lt;=69), 5*N178*(1+Parameters!$B$5)^-(E178-B178), 0)</f>
        <v/>
      </c>
      <c r="R178" s="5">
        <f>IF(E178&lt;=65, L178, 0)</f>
        <v/>
      </c>
      <c r="S178" s="5">
        <f>N178 * (Parameters!$B$6 / Parameters!$B$9)</f>
        <v/>
      </c>
      <c r="T178" s="5">
        <f>P178 + Q178</f>
        <v/>
      </c>
      <c r="U178">
        <f>IF(E178&gt;65, (1-((1+Parameters!$B$10)/(1+Parameters!$B$5))^(E178-65))/(((1+Parameters!$B$5)/(1+Parameters!$B$10))-1), 0)</f>
        <v/>
      </c>
      <c r="V178" s="5">
        <f>S178 * U178 * (1+Parameters!$B$5)^-(65-B178)</f>
        <v/>
      </c>
      <c r="W178" s="5">
        <f>IF(AND(E178&gt;=66, E178&lt;=69), 5*S178*(1+Parameters!$B$5)^-(E178-B178), 0)</f>
        <v/>
      </c>
      <c r="X178" s="5">
        <f>V178 + W178 + R178</f>
        <v/>
      </c>
      <c r="Y178" s="5">
        <f>IF(E178&gt;=65, M178/S178, "")</f>
        <v/>
      </c>
    </row>
    <row r="179">
      <c r="A179" t="n">
        <v>178</v>
      </c>
      <c r="B179" t="n">
        <v>23</v>
      </c>
      <c r="C179" s="5" t="n">
        <v>2630</v>
      </c>
      <c r="D179" t="n">
        <v>0.0393</v>
      </c>
      <c r="E179" t="n">
        <v>91</v>
      </c>
      <c r="F179" s="5" t="n">
        <v>26300</v>
      </c>
      <c r="G179">
        <f>MIN(65-B179, MAX(0, E179-B179))</f>
        <v/>
      </c>
      <c r="H179">
        <f>B179+G179</f>
        <v/>
      </c>
      <c r="I179" s="5">
        <f>F179*(1+D179)^G179</f>
        <v/>
      </c>
      <c r="J179">
        <f>(1+D179)/(1+Parameters!$B$5)</f>
        <v/>
      </c>
      <c r="K179" s="5">
        <f>IF(G179&gt;0, IF(ROUND(J179, 6)=1, G179 * C179 * (1+Parameters!$B$5)^-0.5, C179 * (1-J179^G179)/(1-J179) * (1+Parameters!$B$5)^-0.5), 0)</f>
        <v/>
      </c>
      <c r="L179" s="5">
        <f>K179*(1-Parameters!$B$4)</f>
        <v/>
      </c>
      <c r="M179" s="5">
        <f>L179*(1+Parameters!$B$5)^G179</f>
        <v/>
      </c>
      <c r="N179" s="5">
        <f>IF(E179&gt;=65, (65-B179)*I179/Parameters!$B$6, 0)</f>
        <v/>
      </c>
      <c r="O179">
        <f>IF(E179&gt;65, (1-(1+Parameters!$B$5)^-(E179-65))/Parameters!$B$5, 0)</f>
        <v/>
      </c>
      <c r="P179" s="5">
        <f>N179 * O179 * (1+Parameters!$B$5)^-(65-B179)</f>
        <v/>
      </c>
      <c r="Q179" s="5">
        <f>IF(AND(E179&gt;=66, E179&lt;=69), 5*N179*(1+Parameters!$B$5)^-(E179-B179), 0)</f>
        <v/>
      </c>
      <c r="R179" s="5">
        <f>IF(E179&lt;=65, L179, 0)</f>
        <v/>
      </c>
      <c r="S179" s="5">
        <f>N179 * (Parameters!$B$6 / Parameters!$B$9)</f>
        <v/>
      </c>
      <c r="T179" s="5">
        <f>P179 + Q179</f>
        <v/>
      </c>
      <c r="U179">
        <f>IF(E179&gt;65, (1-((1+Parameters!$B$10)/(1+Parameters!$B$5))^(E179-65))/(((1+Parameters!$B$5)/(1+Parameters!$B$10))-1), 0)</f>
        <v/>
      </c>
      <c r="V179" s="5">
        <f>S179 * U179 * (1+Parameters!$B$5)^-(65-B179)</f>
        <v/>
      </c>
      <c r="W179" s="5">
        <f>IF(AND(E179&gt;=66, E179&lt;=69), 5*S179*(1+Parameters!$B$5)^-(E179-B179), 0)</f>
        <v/>
      </c>
      <c r="X179" s="5">
        <f>V179 + W179 + R179</f>
        <v/>
      </c>
      <c r="Y179" s="5">
        <f>IF(E179&gt;=65, M179/S179, "")</f>
        <v/>
      </c>
    </row>
    <row r="180">
      <c r="A180" t="n">
        <v>179</v>
      </c>
      <c r="B180" t="n">
        <v>50</v>
      </c>
      <c r="C180" s="5" t="n">
        <v>10360</v>
      </c>
      <c r="D180" t="n">
        <v>0.0163</v>
      </c>
      <c r="E180" t="n">
        <v>81</v>
      </c>
      <c r="F180" s="5" t="n">
        <v>103600</v>
      </c>
      <c r="G180">
        <f>MIN(65-B180, MAX(0, E180-B180))</f>
        <v/>
      </c>
      <c r="H180">
        <f>B180+G180</f>
        <v/>
      </c>
      <c r="I180" s="5">
        <f>F180*(1+D180)^G180</f>
        <v/>
      </c>
      <c r="J180">
        <f>(1+D180)/(1+Parameters!$B$5)</f>
        <v/>
      </c>
      <c r="K180" s="5">
        <f>IF(G180&gt;0, IF(ROUND(J180, 6)=1, G180 * C180 * (1+Parameters!$B$5)^-0.5, C180 * (1-J180^G180)/(1-J180) * (1+Parameters!$B$5)^-0.5), 0)</f>
        <v/>
      </c>
      <c r="L180" s="5">
        <f>K180*(1-Parameters!$B$4)</f>
        <v/>
      </c>
      <c r="M180" s="5">
        <f>L180*(1+Parameters!$B$5)^G180</f>
        <v/>
      </c>
      <c r="N180" s="5">
        <f>IF(E180&gt;=65, (65-B180)*I180/Parameters!$B$6, 0)</f>
        <v/>
      </c>
      <c r="O180">
        <f>IF(E180&gt;65, (1-(1+Parameters!$B$5)^-(E180-65))/Parameters!$B$5, 0)</f>
        <v/>
      </c>
      <c r="P180" s="5">
        <f>N180 * O180 * (1+Parameters!$B$5)^-(65-B180)</f>
        <v/>
      </c>
      <c r="Q180" s="5">
        <f>IF(AND(E180&gt;=66, E180&lt;=69), 5*N180*(1+Parameters!$B$5)^-(E180-B180), 0)</f>
        <v/>
      </c>
      <c r="R180" s="5">
        <f>IF(E180&lt;=65, L180, 0)</f>
        <v/>
      </c>
      <c r="S180" s="5">
        <f>N180 * (Parameters!$B$6 / Parameters!$B$9)</f>
        <v/>
      </c>
      <c r="T180" s="5">
        <f>P180 + Q180</f>
        <v/>
      </c>
      <c r="U180">
        <f>IF(E180&gt;65, (1-((1+Parameters!$B$10)/(1+Parameters!$B$5))^(E180-65))/(((1+Parameters!$B$5)/(1+Parameters!$B$10))-1), 0)</f>
        <v/>
      </c>
      <c r="V180" s="5">
        <f>S180 * U180 * (1+Parameters!$B$5)^-(65-B180)</f>
        <v/>
      </c>
      <c r="W180" s="5">
        <f>IF(AND(E180&gt;=66, E180&lt;=69), 5*S180*(1+Parameters!$B$5)^-(E180-B180), 0)</f>
        <v/>
      </c>
      <c r="X180" s="5">
        <f>V180 + W180 + R180</f>
        <v/>
      </c>
      <c r="Y180" s="5">
        <f>IF(E180&gt;=65, M180/S180, "")</f>
        <v/>
      </c>
    </row>
    <row r="181">
      <c r="A181" t="n">
        <v>180</v>
      </c>
      <c r="B181" t="n">
        <v>24</v>
      </c>
      <c r="C181" s="5" t="n">
        <v>1370</v>
      </c>
      <c r="D181" t="n">
        <v>0.0171</v>
      </c>
      <c r="E181" t="n">
        <v>82</v>
      </c>
      <c r="F181" s="5" t="n">
        <v>13700</v>
      </c>
      <c r="G181">
        <f>MIN(65-B181, MAX(0, E181-B181))</f>
        <v/>
      </c>
      <c r="H181">
        <f>B181+G181</f>
        <v/>
      </c>
      <c r="I181" s="5">
        <f>F181*(1+D181)^G181</f>
        <v/>
      </c>
      <c r="J181">
        <f>(1+D181)/(1+Parameters!$B$5)</f>
        <v/>
      </c>
      <c r="K181" s="5">
        <f>IF(G181&gt;0, IF(ROUND(J181, 6)=1, G181 * C181 * (1+Parameters!$B$5)^-0.5, C181 * (1-J181^G181)/(1-J181) * (1+Parameters!$B$5)^-0.5), 0)</f>
        <v/>
      </c>
      <c r="L181" s="5">
        <f>K181*(1-Parameters!$B$4)</f>
        <v/>
      </c>
      <c r="M181" s="5">
        <f>L181*(1+Parameters!$B$5)^G181</f>
        <v/>
      </c>
      <c r="N181" s="5">
        <f>IF(E181&gt;=65, (65-B181)*I181/Parameters!$B$6, 0)</f>
        <v/>
      </c>
      <c r="O181">
        <f>IF(E181&gt;65, (1-(1+Parameters!$B$5)^-(E181-65))/Parameters!$B$5, 0)</f>
        <v/>
      </c>
      <c r="P181" s="5">
        <f>N181 * O181 * (1+Parameters!$B$5)^-(65-B181)</f>
        <v/>
      </c>
      <c r="Q181" s="5">
        <f>IF(AND(E181&gt;=66, E181&lt;=69), 5*N181*(1+Parameters!$B$5)^-(E181-B181), 0)</f>
        <v/>
      </c>
      <c r="R181" s="5">
        <f>IF(E181&lt;=65, L181, 0)</f>
        <v/>
      </c>
      <c r="S181" s="5">
        <f>N181 * (Parameters!$B$6 / Parameters!$B$9)</f>
        <v/>
      </c>
      <c r="T181" s="5">
        <f>P181 + Q181</f>
        <v/>
      </c>
      <c r="U181">
        <f>IF(E181&gt;65, (1-((1+Parameters!$B$10)/(1+Parameters!$B$5))^(E181-65))/(((1+Parameters!$B$5)/(1+Parameters!$B$10))-1), 0)</f>
        <v/>
      </c>
      <c r="V181" s="5">
        <f>S181 * U181 * (1+Parameters!$B$5)^-(65-B181)</f>
        <v/>
      </c>
      <c r="W181" s="5">
        <f>IF(AND(E181&gt;=66, E181&lt;=69), 5*S181*(1+Parameters!$B$5)^-(E181-B181), 0)</f>
        <v/>
      </c>
      <c r="X181" s="5">
        <f>V181 + W181 + R181</f>
        <v/>
      </c>
      <c r="Y181" s="5">
        <f>IF(E181&gt;=65, M181/S181, "")</f>
        <v/>
      </c>
    </row>
    <row r="182">
      <c r="A182" t="n">
        <v>181</v>
      </c>
      <c r="B182" t="n">
        <v>40</v>
      </c>
      <c r="C182" s="5" t="n">
        <v>6740</v>
      </c>
      <c r="D182" t="n">
        <v>0.0481</v>
      </c>
      <c r="E182" t="n">
        <v>78</v>
      </c>
      <c r="F182" s="5" t="n">
        <v>67400</v>
      </c>
      <c r="G182">
        <f>MIN(65-B182, MAX(0, E182-B182))</f>
        <v/>
      </c>
      <c r="H182">
        <f>B182+G182</f>
        <v/>
      </c>
      <c r="I182" s="5">
        <f>F182*(1+D182)^G182</f>
        <v/>
      </c>
      <c r="J182">
        <f>(1+D182)/(1+Parameters!$B$5)</f>
        <v/>
      </c>
      <c r="K182" s="5">
        <f>IF(G182&gt;0, IF(ROUND(J182, 6)=1, G182 * C182 * (1+Parameters!$B$5)^-0.5, C182 * (1-J182^G182)/(1-J182) * (1+Parameters!$B$5)^-0.5), 0)</f>
        <v/>
      </c>
      <c r="L182" s="5">
        <f>K182*(1-Parameters!$B$4)</f>
        <v/>
      </c>
      <c r="M182" s="5">
        <f>L182*(1+Parameters!$B$5)^G182</f>
        <v/>
      </c>
      <c r="N182" s="5">
        <f>IF(E182&gt;=65, (65-B182)*I182/Parameters!$B$6, 0)</f>
        <v/>
      </c>
      <c r="O182">
        <f>IF(E182&gt;65, (1-(1+Parameters!$B$5)^-(E182-65))/Parameters!$B$5, 0)</f>
        <v/>
      </c>
      <c r="P182" s="5">
        <f>N182 * O182 * (1+Parameters!$B$5)^-(65-B182)</f>
        <v/>
      </c>
      <c r="Q182" s="5">
        <f>IF(AND(E182&gt;=66, E182&lt;=69), 5*N182*(1+Parameters!$B$5)^-(E182-B182), 0)</f>
        <v/>
      </c>
      <c r="R182" s="5">
        <f>IF(E182&lt;=65, L182, 0)</f>
        <v/>
      </c>
      <c r="S182" s="5">
        <f>N182 * (Parameters!$B$6 / Parameters!$B$9)</f>
        <v/>
      </c>
      <c r="T182" s="5">
        <f>P182 + Q182</f>
        <v/>
      </c>
      <c r="U182">
        <f>IF(E182&gt;65, (1-((1+Parameters!$B$10)/(1+Parameters!$B$5))^(E182-65))/(((1+Parameters!$B$5)/(1+Parameters!$B$10))-1), 0)</f>
        <v/>
      </c>
      <c r="V182" s="5">
        <f>S182 * U182 * (1+Parameters!$B$5)^-(65-B182)</f>
        <v/>
      </c>
      <c r="W182" s="5">
        <f>IF(AND(E182&gt;=66, E182&lt;=69), 5*S182*(1+Parameters!$B$5)^-(E182-B182), 0)</f>
        <v/>
      </c>
      <c r="X182" s="5">
        <f>V182 + W182 + R182</f>
        <v/>
      </c>
      <c r="Y182" s="5">
        <f>IF(E182&gt;=65, M182/S182, "")</f>
        <v/>
      </c>
    </row>
    <row r="183">
      <c r="A183" t="n">
        <v>182</v>
      </c>
      <c r="B183" t="n">
        <v>53</v>
      </c>
      <c r="C183" s="5" t="n">
        <v>10910</v>
      </c>
      <c r="D183" t="n">
        <v>0.0299</v>
      </c>
      <c r="E183" t="n">
        <v>77</v>
      </c>
      <c r="F183" s="5" t="n">
        <v>109100</v>
      </c>
      <c r="G183">
        <f>MIN(65-B183, MAX(0, E183-B183))</f>
        <v/>
      </c>
      <c r="H183">
        <f>B183+G183</f>
        <v/>
      </c>
      <c r="I183" s="5">
        <f>F183*(1+D183)^G183</f>
        <v/>
      </c>
      <c r="J183">
        <f>(1+D183)/(1+Parameters!$B$5)</f>
        <v/>
      </c>
      <c r="K183" s="5">
        <f>IF(G183&gt;0, IF(ROUND(J183, 6)=1, G183 * C183 * (1+Parameters!$B$5)^-0.5, C183 * (1-J183^G183)/(1-J183) * (1+Parameters!$B$5)^-0.5), 0)</f>
        <v/>
      </c>
      <c r="L183" s="5">
        <f>K183*(1-Parameters!$B$4)</f>
        <v/>
      </c>
      <c r="M183" s="5">
        <f>L183*(1+Parameters!$B$5)^G183</f>
        <v/>
      </c>
      <c r="N183" s="5">
        <f>IF(E183&gt;=65, (65-B183)*I183/Parameters!$B$6, 0)</f>
        <v/>
      </c>
      <c r="O183">
        <f>IF(E183&gt;65, (1-(1+Parameters!$B$5)^-(E183-65))/Parameters!$B$5, 0)</f>
        <v/>
      </c>
      <c r="P183" s="5">
        <f>N183 * O183 * (1+Parameters!$B$5)^-(65-B183)</f>
        <v/>
      </c>
      <c r="Q183" s="5">
        <f>IF(AND(E183&gt;=66, E183&lt;=69), 5*N183*(1+Parameters!$B$5)^-(E183-B183), 0)</f>
        <v/>
      </c>
      <c r="R183" s="5">
        <f>IF(E183&lt;=65, L183, 0)</f>
        <v/>
      </c>
      <c r="S183" s="5">
        <f>N183 * (Parameters!$B$6 / Parameters!$B$9)</f>
        <v/>
      </c>
      <c r="T183" s="5">
        <f>P183 + Q183</f>
        <v/>
      </c>
      <c r="U183">
        <f>IF(E183&gt;65, (1-((1+Parameters!$B$10)/(1+Parameters!$B$5))^(E183-65))/(((1+Parameters!$B$5)/(1+Parameters!$B$10))-1), 0)</f>
        <v/>
      </c>
      <c r="V183" s="5">
        <f>S183 * U183 * (1+Parameters!$B$5)^-(65-B183)</f>
        <v/>
      </c>
      <c r="W183" s="5">
        <f>IF(AND(E183&gt;=66, E183&lt;=69), 5*S183*(1+Parameters!$B$5)^-(E183-B183), 0)</f>
        <v/>
      </c>
      <c r="X183" s="5">
        <f>V183 + W183 + R183</f>
        <v/>
      </c>
      <c r="Y183" s="5">
        <f>IF(E183&gt;=65, M183/S183, "")</f>
        <v/>
      </c>
    </row>
    <row r="184">
      <c r="A184" t="n">
        <v>183</v>
      </c>
      <c r="B184" t="n">
        <v>40</v>
      </c>
      <c r="C184" s="5" t="n">
        <v>1810</v>
      </c>
      <c r="D184" t="n">
        <v>0.0177</v>
      </c>
      <c r="E184" t="n">
        <v>87</v>
      </c>
      <c r="F184" s="5" t="n">
        <v>18100</v>
      </c>
      <c r="G184">
        <f>MIN(65-B184, MAX(0, E184-B184))</f>
        <v/>
      </c>
      <c r="H184">
        <f>B184+G184</f>
        <v/>
      </c>
      <c r="I184" s="5">
        <f>F184*(1+D184)^G184</f>
        <v/>
      </c>
      <c r="J184">
        <f>(1+D184)/(1+Parameters!$B$5)</f>
        <v/>
      </c>
      <c r="K184" s="5">
        <f>IF(G184&gt;0, IF(ROUND(J184, 6)=1, G184 * C184 * (1+Parameters!$B$5)^-0.5, C184 * (1-J184^G184)/(1-J184) * (1+Parameters!$B$5)^-0.5), 0)</f>
        <v/>
      </c>
      <c r="L184" s="5">
        <f>K184*(1-Parameters!$B$4)</f>
        <v/>
      </c>
      <c r="M184" s="5">
        <f>L184*(1+Parameters!$B$5)^G184</f>
        <v/>
      </c>
      <c r="N184" s="5">
        <f>IF(E184&gt;=65, (65-B184)*I184/Parameters!$B$6, 0)</f>
        <v/>
      </c>
      <c r="O184">
        <f>IF(E184&gt;65, (1-(1+Parameters!$B$5)^-(E184-65))/Parameters!$B$5, 0)</f>
        <v/>
      </c>
      <c r="P184" s="5">
        <f>N184 * O184 * (1+Parameters!$B$5)^-(65-B184)</f>
        <v/>
      </c>
      <c r="Q184" s="5">
        <f>IF(AND(E184&gt;=66, E184&lt;=69), 5*N184*(1+Parameters!$B$5)^-(E184-B184), 0)</f>
        <v/>
      </c>
      <c r="R184" s="5">
        <f>IF(E184&lt;=65, L184, 0)</f>
        <v/>
      </c>
      <c r="S184" s="5">
        <f>N184 * (Parameters!$B$6 / Parameters!$B$9)</f>
        <v/>
      </c>
      <c r="T184" s="5">
        <f>P184 + Q184</f>
        <v/>
      </c>
      <c r="U184">
        <f>IF(E184&gt;65, (1-((1+Parameters!$B$10)/(1+Parameters!$B$5))^(E184-65))/(((1+Parameters!$B$5)/(1+Parameters!$B$10))-1), 0)</f>
        <v/>
      </c>
      <c r="V184" s="5">
        <f>S184 * U184 * (1+Parameters!$B$5)^-(65-B184)</f>
        <v/>
      </c>
      <c r="W184" s="5">
        <f>IF(AND(E184&gt;=66, E184&lt;=69), 5*S184*(1+Parameters!$B$5)^-(E184-B184), 0)</f>
        <v/>
      </c>
      <c r="X184" s="5">
        <f>V184 + W184 + R184</f>
        <v/>
      </c>
      <c r="Y184" s="5">
        <f>IF(E184&gt;=65, M184/S184, "")</f>
        <v/>
      </c>
    </row>
    <row r="185">
      <c r="A185" t="n">
        <v>184</v>
      </c>
      <c r="B185" t="n">
        <v>18</v>
      </c>
      <c r="C185" s="5" t="n">
        <v>1250</v>
      </c>
      <c r="D185" t="n">
        <v>0.0156</v>
      </c>
      <c r="E185" t="n">
        <v>81</v>
      </c>
      <c r="F185" s="5" t="n">
        <v>12500</v>
      </c>
      <c r="G185">
        <f>MIN(65-B185, MAX(0, E185-B185))</f>
        <v/>
      </c>
      <c r="H185">
        <f>B185+G185</f>
        <v/>
      </c>
      <c r="I185" s="5">
        <f>F185*(1+D185)^G185</f>
        <v/>
      </c>
      <c r="J185">
        <f>(1+D185)/(1+Parameters!$B$5)</f>
        <v/>
      </c>
      <c r="K185" s="5">
        <f>IF(G185&gt;0, IF(ROUND(J185, 6)=1, G185 * C185 * (1+Parameters!$B$5)^-0.5, C185 * (1-J185^G185)/(1-J185) * (1+Parameters!$B$5)^-0.5), 0)</f>
        <v/>
      </c>
      <c r="L185" s="5">
        <f>K185*(1-Parameters!$B$4)</f>
        <v/>
      </c>
      <c r="M185" s="5">
        <f>L185*(1+Parameters!$B$5)^G185</f>
        <v/>
      </c>
      <c r="N185" s="5">
        <f>IF(E185&gt;=65, (65-B185)*I185/Parameters!$B$6, 0)</f>
        <v/>
      </c>
      <c r="O185">
        <f>IF(E185&gt;65, (1-(1+Parameters!$B$5)^-(E185-65))/Parameters!$B$5, 0)</f>
        <v/>
      </c>
      <c r="P185" s="5">
        <f>N185 * O185 * (1+Parameters!$B$5)^-(65-B185)</f>
        <v/>
      </c>
      <c r="Q185" s="5">
        <f>IF(AND(E185&gt;=66, E185&lt;=69), 5*N185*(1+Parameters!$B$5)^-(E185-B185), 0)</f>
        <v/>
      </c>
      <c r="R185" s="5">
        <f>IF(E185&lt;=65, L185, 0)</f>
        <v/>
      </c>
      <c r="S185" s="5">
        <f>N185 * (Parameters!$B$6 / Parameters!$B$9)</f>
        <v/>
      </c>
      <c r="T185" s="5">
        <f>P185 + Q185</f>
        <v/>
      </c>
      <c r="U185">
        <f>IF(E185&gt;65, (1-((1+Parameters!$B$10)/(1+Parameters!$B$5))^(E185-65))/(((1+Parameters!$B$5)/(1+Parameters!$B$10))-1), 0)</f>
        <v/>
      </c>
      <c r="V185" s="5">
        <f>S185 * U185 * (1+Parameters!$B$5)^-(65-B185)</f>
        <v/>
      </c>
      <c r="W185" s="5">
        <f>IF(AND(E185&gt;=66, E185&lt;=69), 5*S185*(1+Parameters!$B$5)^-(E185-B185), 0)</f>
        <v/>
      </c>
      <c r="X185" s="5">
        <f>V185 + W185 + R185</f>
        <v/>
      </c>
      <c r="Y185" s="5">
        <f>IF(E185&gt;=65, M185/S185, "")</f>
        <v/>
      </c>
    </row>
    <row r="186">
      <c r="A186" t="n">
        <v>185</v>
      </c>
      <c r="B186" t="n">
        <v>57</v>
      </c>
      <c r="C186" s="5" t="n">
        <v>1390</v>
      </c>
      <c r="D186" t="n">
        <v>0.033</v>
      </c>
      <c r="E186" t="n">
        <v>77</v>
      </c>
      <c r="F186" s="5" t="n">
        <v>13900</v>
      </c>
      <c r="G186">
        <f>MIN(65-B186, MAX(0, E186-B186))</f>
        <v/>
      </c>
      <c r="H186">
        <f>B186+G186</f>
        <v/>
      </c>
      <c r="I186" s="5">
        <f>F186*(1+D186)^G186</f>
        <v/>
      </c>
      <c r="J186">
        <f>(1+D186)/(1+Parameters!$B$5)</f>
        <v/>
      </c>
      <c r="K186" s="5">
        <f>IF(G186&gt;0, IF(ROUND(J186, 6)=1, G186 * C186 * (1+Parameters!$B$5)^-0.5, C186 * (1-J186^G186)/(1-J186) * (1+Parameters!$B$5)^-0.5), 0)</f>
        <v/>
      </c>
      <c r="L186" s="5">
        <f>K186*(1-Parameters!$B$4)</f>
        <v/>
      </c>
      <c r="M186" s="5">
        <f>L186*(1+Parameters!$B$5)^G186</f>
        <v/>
      </c>
      <c r="N186" s="5">
        <f>IF(E186&gt;=65, (65-B186)*I186/Parameters!$B$6, 0)</f>
        <v/>
      </c>
      <c r="O186">
        <f>IF(E186&gt;65, (1-(1+Parameters!$B$5)^-(E186-65))/Parameters!$B$5, 0)</f>
        <v/>
      </c>
      <c r="P186" s="5">
        <f>N186 * O186 * (1+Parameters!$B$5)^-(65-B186)</f>
        <v/>
      </c>
      <c r="Q186" s="5">
        <f>IF(AND(E186&gt;=66, E186&lt;=69), 5*N186*(1+Parameters!$B$5)^-(E186-B186), 0)</f>
        <v/>
      </c>
      <c r="R186" s="5">
        <f>IF(E186&lt;=65, L186, 0)</f>
        <v/>
      </c>
      <c r="S186" s="5">
        <f>N186 * (Parameters!$B$6 / Parameters!$B$9)</f>
        <v/>
      </c>
      <c r="T186" s="5">
        <f>P186 + Q186</f>
        <v/>
      </c>
      <c r="U186">
        <f>IF(E186&gt;65, (1-((1+Parameters!$B$10)/(1+Parameters!$B$5))^(E186-65))/(((1+Parameters!$B$5)/(1+Parameters!$B$10))-1), 0)</f>
        <v/>
      </c>
      <c r="V186" s="5">
        <f>S186 * U186 * (1+Parameters!$B$5)^-(65-B186)</f>
        <v/>
      </c>
      <c r="W186" s="5">
        <f>IF(AND(E186&gt;=66, E186&lt;=69), 5*S186*(1+Parameters!$B$5)^-(E186-B186), 0)</f>
        <v/>
      </c>
      <c r="X186" s="5">
        <f>V186 + W186 + R186</f>
        <v/>
      </c>
      <c r="Y186" s="5">
        <f>IF(E186&gt;=65, M186/S186, "")</f>
        <v/>
      </c>
    </row>
    <row r="187">
      <c r="A187" t="n">
        <v>186</v>
      </c>
      <c r="B187" t="n">
        <v>39</v>
      </c>
      <c r="C187" s="5" t="n">
        <v>6390</v>
      </c>
      <c r="D187" t="n">
        <v>0.0258</v>
      </c>
      <c r="E187" t="n">
        <v>75</v>
      </c>
      <c r="F187" s="5" t="n">
        <v>63900</v>
      </c>
      <c r="G187">
        <f>MIN(65-B187, MAX(0, E187-B187))</f>
        <v/>
      </c>
      <c r="H187">
        <f>B187+G187</f>
        <v/>
      </c>
      <c r="I187" s="5">
        <f>F187*(1+D187)^G187</f>
        <v/>
      </c>
      <c r="J187">
        <f>(1+D187)/(1+Parameters!$B$5)</f>
        <v/>
      </c>
      <c r="K187" s="5">
        <f>IF(G187&gt;0, IF(ROUND(J187, 6)=1, G187 * C187 * (1+Parameters!$B$5)^-0.5, C187 * (1-J187^G187)/(1-J187) * (1+Parameters!$B$5)^-0.5), 0)</f>
        <v/>
      </c>
      <c r="L187" s="5">
        <f>K187*(1-Parameters!$B$4)</f>
        <v/>
      </c>
      <c r="M187" s="5">
        <f>L187*(1+Parameters!$B$5)^G187</f>
        <v/>
      </c>
      <c r="N187" s="5">
        <f>IF(E187&gt;=65, (65-B187)*I187/Parameters!$B$6, 0)</f>
        <v/>
      </c>
      <c r="O187">
        <f>IF(E187&gt;65, (1-(1+Parameters!$B$5)^-(E187-65))/Parameters!$B$5, 0)</f>
        <v/>
      </c>
      <c r="P187" s="5">
        <f>N187 * O187 * (1+Parameters!$B$5)^-(65-B187)</f>
        <v/>
      </c>
      <c r="Q187" s="5">
        <f>IF(AND(E187&gt;=66, E187&lt;=69), 5*N187*(1+Parameters!$B$5)^-(E187-B187), 0)</f>
        <v/>
      </c>
      <c r="R187" s="5">
        <f>IF(E187&lt;=65, L187, 0)</f>
        <v/>
      </c>
      <c r="S187" s="5">
        <f>N187 * (Parameters!$B$6 / Parameters!$B$9)</f>
        <v/>
      </c>
      <c r="T187" s="5">
        <f>P187 + Q187</f>
        <v/>
      </c>
      <c r="U187">
        <f>IF(E187&gt;65, (1-((1+Parameters!$B$10)/(1+Parameters!$B$5))^(E187-65))/(((1+Parameters!$B$5)/(1+Parameters!$B$10))-1), 0)</f>
        <v/>
      </c>
      <c r="V187" s="5">
        <f>S187 * U187 * (1+Parameters!$B$5)^-(65-B187)</f>
        <v/>
      </c>
      <c r="W187" s="5">
        <f>IF(AND(E187&gt;=66, E187&lt;=69), 5*S187*(1+Parameters!$B$5)^-(E187-B187), 0)</f>
        <v/>
      </c>
      <c r="X187" s="5">
        <f>V187 + W187 + R187</f>
        <v/>
      </c>
      <c r="Y187" s="5">
        <f>IF(E187&gt;=65, M187/S187, "")</f>
        <v/>
      </c>
    </row>
    <row r="188">
      <c r="A188" t="n">
        <v>187</v>
      </c>
      <c r="B188" t="n">
        <v>58</v>
      </c>
      <c r="C188" s="5" t="n">
        <v>3000</v>
      </c>
      <c r="D188" t="n">
        <v>0.0533</v>
      </c>
      <c r="E188" t="n">
        <v>86</v>
      </c>
      <c r="F188" s="5" t="n">
        <v>30000</v>
      </c>
      <c r="G188">
        <f>MIN(65-B188, MAX(0, E188-B188))</f>
        <v/>
      </c>
      <c r="H188">
        <f>B188+G188</f>
        <v/>
      </c>
      <c r="I188" s="5">
        <f>F188*(1+D188)^G188</f>
        <v/>
      </c>
      <c r="J188">
        <f>(1+D188)/(1+Parameters!$B$5)</f>
        <v/>
      </c>
      <c r="K188" s="5">
        <f>IF(G188&gt;0, IF(ROUND(J188, 6)=1, G188 * C188 * (1+Parameters!$B$5)^-0.5, C188 * (1-J188^G188)/(1-J188) * (1+Parameters!$B$5)^-0.5), 0)</f>
        <v/>
      </c>
      <c r="L188" s="5">
        <f>K188*(1-Parameters!$B$4)</f>
        <v/>
      </c>
      <c r="M188" s="5">
        <f>L188*(1+Parameters!$B$5)^G188</f>
        <v/>
      </c>
      <c r="N188" s="5">
        <f>IF(E188&gt;=65, (65-B188)*I188/Parameters!$B$6, 0)</f>
        <v/>
      </c>
      <c r="O188">
        <f>IF(E188&gt;65, (1-(1+Parameters!$B$5)^-(E188-65))/Parameters!$B$5, 0)</f>
        <v/>
      </c>
      <c r="P188" s="5">
        <f>N188 * O188 * (1+Parameters!$B$5)^-(65-B188)</f>
        <v/>
      </c>
      <c r="Q188" s="5">
        <f>IF(AND(E188&gt;=66, E188&lt;=69), 5*N188*(1+Parameters!$B$5)^-(E188-B188), 0)</f>
        <v/>
      </c>
      <c r="R188" s="5">
        <f>IF(E188&lt;=65, L188, 0)</f>
        <v/>
      </c>
      <c r="S188" s="5">
        <f>N188 * (Parameters!$B$6 / Parameters!$B$9)</f>
        <v/>
      </c>
      <c r="T188" s="5">
        <f>P188 + Q188</f>
        <v/>
      </c>
      <c r="U188">
        <f>IF(E188&gt;65, (1-((1+Parameters!$B$10)/(1+Parameters!$B$5))^(E188-65))/(((1+Parameters!$B$5)/(1+Parameters!$B$10))-1), 0)</f>
        <v/>
      </c>
      <c r="V188" s="5">
        <f>S188 * U188 * (1+Parameters!$B$5)^-(65-B188)</f>
        <v/>
      </c>
      <c r="W188" s="5">
        <f>IF(AND(E188&gt;=66, E188&lt;=69), 5*S188*(1+Parameters!$B$5)^-(E188-B188), 0)</f>
        <v/>
      </c>
      <c r="X188" s="5">
        <f>V188 + W188 + R188</f>
        <v/>
      </c>
      <c r="Y188" s="5">
        <f>IF(E188&gt;=65, M188/S188, "")</f>
        <v/>
      </c>
    </row>
    <row r="189">
      <c r="A189" t="n">
        <v>188</v>
      </c>
      <c r="B189" t="n">
        <v>34</v>
      </c>
      <c r="C189" s="5" t="n">
        <v>1730</v>
      </c>
      <c r="D189" t="n">
        <v>0.0231</v>
      </c>
      <c r="E189" t="n">
        <v>96</v>
      </c>
      <c r="F189" s="5" t="n">
        <v>17300</v>
      </c>
      <c r="G189">
        <f>MIN(65-B189, MAX(0, E189-B189))</f>
        <v/>
      </c>
      <c r="H189">
        <f>B189+G189</f>
        <v/>
      </c>
      <c r="I189" s="5">
        <f>F189*(1+D189)^G189</f>
        <v/>
      </c>
      <c r="J189">
        <f>(1+D189)/(1+Parameters!$B$5)</f>
        <v/>
      </c>
      <c r="K189" s="5">
        <f>IF(G189&gt;0, IF(ROUND(J189, 6)=1, G189 * C189 * (1+Parameters!$B$5)^-0.5, C189 * (1-J189^G189)/(1-J189) * (1+Parameters!$B$5)^-0.5), 0)</f>
        <v/>
      </c>
      <c r="L189" s="5">
        <f>K189*(1-Parameters!$B$4)</f>
        <v/>
      </c>
      <c r="M189" s="5">
        <f>L189*(1+Parameters!$B$5)^G189</f>
        <v/>
      </c>
      <c r="N189" s="5">
        <f>IF(E189&gt;=65, (65-B189)*I189/Parameters!$B$6, 0)</f>
        <v/>
      </c>
      <c r="O189">
        <f>IF(E189&gt;65, (1-(1+Parameters!$B$5)^-(E189-65))/Parameters!$B$5, 0)</f>
        <v/>
      </c>
      <c r="P189" s="5">
        <f>N189 * O189 * (1+Parameters!$B$5)^-(65-B189)</f>
        <v/>
      </c>
      <c r="Q189" s="5">
        <f>IF(AND(E189&gt;=66, E189&lt;=69), 5*N189*(1+Parameters!$B$5)^-(E189-B189), 0)</f>
        <v/>
      </c>
      <c r="R189" s="5">
        <f>IF(E189&lt;=65, L189, 0)</f>
        <v/>
      </c>
      <c r="S189" s="5">
        <f>N189 * (Parameters!$B$6 / Parameters!$B$9)</f>
        <v/>
      </c>
      <c r="T189" s="5">
        <f>P189 + Q189</f>
        <v/>
      </c>
      <c r="U189">
        <f>IF(E189&gt;65, (1-((1+Parameters!$B$10)/(1+Parameters!$B$5))^(E189-65))/(((1+Parameters!$B$5)/(1+Parameters!$B$10))-1), 0)</f>
        <v/>
      </c>
      <c r="V189" s="5">
        <f>S189 * U189 * (1+Parameters!$B$5)^-(65-B189)</f>
        <v/>
      </c>
      <c r="W189" s="5">
        <f>IF(AND(E189&gt;=66, E189&lt;=69), 5*S189*(1+Parameters!$B$5)^-(E189-B189), 0)</f>
        <v/>
      </c>
      <c r="X189" s="5">
        <f>V189 + W189 + R189</f>
        <v/>
      </c>
      <c r="Y189" s="5">
        <f>IF(E189&gt;=65, M189/S189, "")</f>
        <v/>
      </c>
    </row>
    <row r="190">
      <c r="A190" t="n">
        <v>189</v>
      </c>
      <c r="B190" t="n">
        <v>38</v>
      </c>
      <c r="C190" s="5" t="n">
        <v>4030</v>
      </c>
      <c r="D190" t="n">
        <v>0.0198</v>
      </c>
      <c r="E190" t="n">
        <v>67</v>
      </c>
      <c r="F190" s="5" t="n">
        <v>40300</v>
      </c>
      <c r="G190">
        <f>MIN(65-B190, MAX(0, E190-B190))</f>
        <v/>
      </c>
      <c r="H190">
        <f>B190+G190</f>
        <v/>
      </c>
      <c r="I190" s="5">
        <f>F190*(1+D190)^G190</f>
        <v/>
      </c>
      <c r="J190">
        <f>(1+D190)/(1+Parameters!$B$5)</f>
        <v/>
      </c>
      <c r="K190" s="5">
        <f>IF(G190&gt;0, IF(ROUND(J190, 6)=1, G190 * C190 * (1+Parameters!$B$5)^-0.5, C190 * (1-J190^G190)/(1-J190) * (1+Parameters!$B$5)^-0.5), 0)</f>
        <v/>
      </c>
      <c r="L190" s="5">
        <f>K190*(1-Parameters!$B$4)</f>
        <v/>
      </c>
      <c r="M190" s="5">
        <f>L190*(1+Parameters!$B$5)^G190</f>
        <v/>
      </c>
      <c r="N190" s="5">
        <f>IF(E190&gt;=65, (65-B190)*I190/Parameters!$B$6, 0)</f>
        <v/>
      </c>
      <c r="O190">
        <f>IF(E190&gt;65, (1-(1+Parameters!$B$5)^-(E190-65))/Parameters!$B$5, 0)</f>
        <v/>
      </c>
      <c r="P190" s="5">
        <f>N190 * O190 * (1+Parameters!$B$5)^-(65-B190)</f>
        <v/>
      </c>
      <c r="Q190" s="5">
        <f>IF(AND(E190&gt;=66, E190&lt;=69), 5*N190*(1+Parameters!$B$5)^-(E190-B190), 0)</f>
        <v/>
      </c>
      <c r="R190" s="5">
        <f>IF(E190&lt;=65, L190, 0)</f>
        <v/>
      </c>
      <c r="S190" s="5">
        <f>N190 * (Parameters!$B$6 / Parameters!$B$9)</f>
        <v/>
      </c>
      <c r="T190" s="5">
        <f>P190 + Q190</f>
        <v/>
      </c>
      <c r="U190">
        <f>IF(E190&gt;65, (1-((1+Parameters!$B$10)/(1+Parameters!$B$5))^(E190-65))/(((1+Parameters!$B$5)/(1+Parameters!$B$10))-1), 0)</f>
        <v/>
      </c>
      <c r="V190" s="5">
        <f>S190 * U190 * (1+Parameters!$B$5)^-(65-B190)</f>
        <v/>
      </c>
      <c r="W190" s="5">
        <f>IF(AND(E190&gt;=66, E190&lt;=69), 5*S190*(1+Parameters!$B$5)^-(E190-B190), 0)</f>
        <v/>
      </c>
      <c r="X190" s="5">
        <f>V190 + W190 + R190</f>
        <v/>
      </c>
      <c r="Y190" s="5">
        <f>IF(E190&gt;=65, M190/S190, "")</f>
        <v/>
      </c>
    </row>
    <row r="191">
      <c r="A191" t="n">
        <v>190</v>
      </c>
      <c r="B191" t="n">
        <v>21</v>
      </c>
      <c r="C191" s="5" t="n">
        <v>2320</v>
      </c>
      <c r="D191" t="n">
        <v>0.0259</v>
      </c>
      <c r="E191" t="n">
        <v>77</v>
      </c>
      <c r="F191" s="5" t="n">
        <v>23200</v>
      </c>
      <c r="G191">
        <f>MIN(65-B191, MAX(0, E191-B191))</f>
        <v/>
      </c>
      <c r="H191">
        <f>B191+G191</f>
        <v/>
      </c>
      <c r="I191" s="5">
        <f>F191*(1+D191)^G191</f>
        <v/>
      </c>
      <c r="J191">
        <f>(1+D191)/(1+Parameters!$B$5)</f>
        <v/>
      </c>
      <c r="K191" s="5">
        <f>IF(G191&gt;0, IF(ROUND(J191, 6)=1, G191 * C191 * (1+Parameters!$B$5)^-0.5, C191 * (1-J191^G191)/(1-J191) * (1+Parameters!$B$5)^-0.5), 0)</f>
        <v/>
      </c>
      <c r="L191" s="5">
        <f>K191*(1-Parameters!$B$4)</f>
        <v/>
      </c>
      <c r="M191" s="5">
        <f>L191*(1+Parameters!$B$5)^G191</f>
        <v/>
      </c>
      <c r="N191" s="5">
        <f>IF(E191&gt;=65, (65-B191)*I191/Parameters!$B$6, 0)</f>
        <v/>
      </c>
      <c r="O191">
        <f>IF(E191&gt;65, (1-(1+Parameters!$B$5)^-(E191-65))/Parameters!$B$5, 0)</f>
        <v/>
      </c>
      <c r="P191" s="5">
        <f>N191 * O191 * (1+Parameters!$B$5)^-(65-B191)</f>
        <v/>
      </c>
      <c r="Q191" s="5">
        <f>IF(AND(E191&gt;=66, E191&lt;=69), 5*N191*(1+Parameters!$B$5)^-(E191-B191), 0)</f>
        <v/>
      </c>
      <c r="R191" s="5">
        <f>IF(E191&lt;=65, L191, 0)</f>
        <v/>
      </c>
      <c r="S191" s="5">
        <f>N191 * (Parameters!$B$6 / Parameters!$B$9)</f>
        <v/>
      </c>
      <c r="T191" s="5">
        <f>P191 + Q191</f>
        <v/>
      </c>
      <c r="U191">
        <f>IF(E191&gt;65, (1-((1+Parameters!$B$10)/(1+Parameters!$B$5))^(E191-65))/(((1+Parameters!$B$5)/(1+Parameters!$B$10))-1), 0)</f>
        <v/>
      </c>
      <c r="V191" s="5">
        <f>S191 * U191 * (1+Parameters!$B$5)^-(65-B191)</f>
        <v/>
      </c>
      <c r="W191" s="5">
        <f>IF(AND(E191&gt;=66, E191&lt;=69), 5*S191*(1+Parameters!$B$5)^-(E191-B191), 0)</f>
        <v/>
      </c>
      <c r="X191" s="5">
        <f>V191 + W191 + R191</f>
        <v/>
      </c>
      <c r="Y191" s="5">
        <f>IF(E191&gt;=65, M191/S191, "")</f>
        <v/>
      </c>
    </row>
    <row r="192">
      <c r="A192" t="n">
        <v>191</v>
      </c>
      <c r="B192" t="n">
        <v>34</v>
      </c>
      <c r="C192" s="5" t="n">
        <v>3690</v>
      </c>
      <c r="D192" t="n">
        <v>0.0405</v>
      </c>
      <c r="E192" t="n">
        <v>74</v>
      </c>
      <c r="F192" s="5" t="n">
        <v>36900</v>
      </c>
      <c r="G192">
        <f>MIN(65-B192, MAX(0, E192-B192))</f>
        <v/>
      </c>
      <c r="H192">
        <f>B192+G192</f>
        <v/>
      </c>
      <c r="I192" s="5">
        <f>F192*(1+D192)^G192</f>
        <v/>
      </c>
      <c r="J192">
        <f>(1+D192)/(1+Parameters!$B$5)</f>
        <v/>
      </c>
      <c r="K192" s="5">
        <f>IF(G192&gt;0, IF(ROUND(J192, 6)=1, G192 * C192 * (1+Parameters!$B$5)^-0.5, C192 * (1-J192^G192)/(1-J192) * (1+Parameters!$B$5)^-0.5), 0)</f>
        <v/>
      </c>
      <c r="L192" s="5">
        <f>K192*(1-Parameters!$B$4)</f>
        <v/>
      </c>
      <c r="M192" s="5">
        <f>L192*(1+Parameters!$B$5)^G192</f>
        <v/>
      </c>
      <c r="N192" s="5">
        <f>IF(E192&gt;=65, (65-B192)*I192/Parameters!$B$6, 0)</f>
        <v/>
      </c>
      <c r="O192">
        <f>IF(E192&gt;65, (1-(1+Parameters!$B$5)^-(E192-65))/Parameters!$B$5, 0)</f>
        <v/>
      </c>
      <c r="P192" s="5">
        <f>N192 * O192 * (1+Parameters!$B$5)^-(65-B192)</f>
        <v/>
      </c>
      <c r="Q192" s="5">
        <f>IF(AND(E192&gt;=66, E192&lt;=69), 5*N192*(1+Parameters!$B$5)^-(E192-B192), 0)</f>
        <v/>
      </c>
      <c r="R192" s="5">
        <f>IF(E192&lt;=65, L192, 0)</f>
        <v/>
      </c>
      <c r="S192" s="5">
        <f>N192 * (Parameters!$B$6 / Parameters!$B$9)</f>
        <v/>
      </c>
      <c r="T192" s="5">
        <f>P192 + Q192</f>
        <v/>
      </c>
      <c r="U192">
        <f>IF(E192&gt;65, (1-((1+Parameters!$B$10)/(1+Parameters!$B$5))^(E192-65))/(((1+Parameters!$B$5)/(1+Parameters!$B$10))-1), 0)</f>
        <v/>
      </c>
      <c r="V192" s="5">
        <f>S192 * U192 * (1+Parameters!$B$5)^-(65-B192)</f>
        <v/>
      </c>
      <c r="W192" s="5">
        <f>IF(AND(E192&gt;=66, E192&lt;=69), 5*S192*(1+Parameters!$B$5)^-(E192-B192), 0)</f>
        <v/>
      </c>
      <c r="X192" s="5">
        <f>V192 + W192 + R192</f>
        <v/>
      </c>
      <c r="Y192" s="5">
        <f>IF(E192&gt;=65, M192/S192, "")</f>
        <v/>
      </c>
    </row>
    <row r="193">
      <c r="A193" t="n">
        <v>192</v>
      </c>
      <c r="B193" t="n">
        <v>53</v>
      </c>
      <c r="C193" s="5" t="n">
        <v>2760</v>
      </c>
      <c r="D193" t="n">
        <v>0.0351</v>
      </c>
      <c r="E193" t="n">
        <v>75</v>
      </c>
      <c r="F193" s="5" t="n">
        <v>27600</v>
      </c>
      <c r="G193">
        <f>MIN(65-B193, MAX(0, E193-B193))</f>
        <v/>
      </c>
      <c r="H193">
        <f>B193+G193</f>
        <v/>
      </c>
      <c r="I193" s="5">
        <f>F193*(1+D193)^G193</f>
        <v/>
      </c>
      <c r="J193">
        <f>(1+D193)/(1+Parameters!$B$5)</f>
        <v/>
      </c>
      <c r="K193" s="5">
        <f>IF(G193&gt;0, IF(ROUND(J193, 6)=1, G193 * C193 * (1+Parameters!$B$5)^-0.5, C193 * (1-J193^G193)/(1-J193) * (1+Parameters!$B$5)^-0.5), 0)</f>
        <v/>
      </c>
      <c r="L193" s="5">
        <f>K193*(1-Parameters!$B$4)</f>
        <v/>
      </c>
      <c r="M193" s="5">
        <f>L193*(1+Parameters!$B$5)^G193</f>
        <v/>
      </c>
      <c r="N193" s="5">
        <f>IF(E193&gt;=65, (65-B193)*I193/Parameters!$B$6, 0)</f>
        <v/>
      </c>
      <c r="O193">
        <f>IF(E193&gt;65, (1-(1+Parameters!$B$5)^-(E193-65))/Parameters!$B$5, 0)</f>
        <v/>
      </c>
      <c r="P193" s="5">
        <f>N193 * O193 * (1+Parameters!$B$5)^-(65-B193)</f>
        <v/>
      </c>
      <c r="Q193" s="5">
        <f>IF(AND(E193&gt;=66, E193&lt;=69), 5*N193*(1+Parameters!$B$5)^-(E193-B193), 0)</f>
        <v/>
      </c>
      <c r="R193" s="5">
        <f>IF(E193&lt;=65, L193, 0)</f>
        <v/>
      </c>
      <c r="S193" s="5">
        <f>N193 * (Parameters!$B$6 / Parameters!$B$9)</f>
        <v/>
      </c>
      <c r="T193" s="5">
        <f>P193 + Q193</f>
        <v/>
      </c>
      <c r="U193">
        <f>IF(E193&gt;65, (1-((1+Parameters!$B$10)/(1+Parameters!$B$5))^(E193-65))/(((1+Parameters!$B$5)/(1+Parameters!$B$10))-1), 0)</f>
        <v/>
      </c>
      <c r="V193" s="5">
        <f>S193 * U193 * (1+Parameters!$B$5)^-(65-B193)</f>
        <v/>
      </c>
      <c r="W193" s="5">
        <f>IF(AND(E193&gt;=66, E193&lt;=69), 5*S193*(1+Parameters!$B$5)^-(E193-B193), 0)</f>
        <v/>
      </c>
      <c r="X193" s="5">
        <f>V193 + W193 + R193</f>
        <v/>
      </c>
      <c r="Y193" s="5">
        <f>IF(E193&gt;=65, M193/S193, "")</f>
        <v/>
      </c>
    </row>
    <row r="194">
      <c r="A194" t="n">
        <v>193</v>
      </c>
      <c r="B194" t="n">
        <v>58</v>
      </c>
      <c r="C194" s="5" t="n">
        <v>17850</v>
      </c>
      <c r="D194" t="n">
        <v>0.041</v>
      </c>
      <c r="E194" t="n">
        <v>88</v>
      </c>
      <c r="F194" s="5" t="n">
        <v>178500</v>
      </c>
      <c r="G194">
        <f>MIN(65-B194, MAX(0, E194-B194))</f>
        <v/>
      </c>
      <c r="H194">
        <f>B194+G194</f>
        <v/>
      </c>
      <c r="I194" s="5">
        <f>F194*(1+D194)^G194</f>
        <v/>
      </c>
      <c r="J194">
        <f>(1+D194)/(1+Parameters!$B$5)</f>
        <v/>
      </c>
      <c r="K194" s="5">
        <f>IF(G194&gt;0, IF(ROUND(J194, 6)=1, G194 * C194 * (1+Parameters!$B$5)^-0.5, C194 * (1-J194^G194)/(1-J194) * (1+Parameters!$B$5)^-0.5), 0)</f>
        <v/>
      </c>
      <c r="L194" s="5">
        <f>K194*(1-Parameters!$B$4)</f>
        <v/>
      </c>
      <c r="M194" s="5">
        <f>L194*(1+Parameters!$B$5)^G194</f>
        <v/>
      </c>
      <c r="N194" s="5">
        <f>IF(E194&gt;=65, (65-B194)*I194/Parameters!$B$6, 0)</f>
        <v/>
      </c>
      <c r="O194">
        <f>IF(E194&gt;65, (1-(1+Parameters!$B$5)^-(E194-65))/Parameters!$B$5, 0)</f>
        <v/>
      </c>
      <c r="P194" s="5">
        <f>N194 * O194 * (1+Parameters!$B$5)^-(65-B194)</f>
        <v/>
      </c>
      <c r="Q194" s="5">
        <f>IF(AND(E194&gt;=66, E194&lt;=69), 5*N194*(1+Parameters!$B$5)^-(E194-B194), 0)</f>
        <v/>
      </c>
      <c r="R194" s="5">
        <f>IF(E194&lt;=65, L194, 0)</f>
        <v/>
      </c>
      <c r="S194" s="5">
        <f>N194 * (Parameters!$B$6 / Parameters!$B$9)</f>
        <v/>
      </c>
      <c r="T194" s="5">
        <f>P194 + Q194</f>
        <v/>
      </c>
      <c r="U194">
        <f>IF(E194&gt;65, (1-((1+Parameters!$B$10)/(1+Parameters!$B$5))^(E194-65))/(((1+Parameters!$B$5)/(1+Parameters!$B$10))-1), 0)</f>
        <v/>
      </c>
      <c r="V194" s="5">
        <f>S194 * U194 * (1+Parameters!$B$5)^-(65-B194)</f>
        <v/>
      </c>
      <c r="W194" s="5">
        <f>IF(AND(E194&gt;=66, E194&lt;=69), 5*S194*(1+Parameters!$B$5)^-(E194-B194), 0)</f>
        <v/>
      </c>
      <c r="X194" s="5">
        <f>V194 + W194 + R194</f>
        <v/>
      </c>
      <c r="Y194" s="5">
        <f>IF(E194&gt;=65, M194/S194, "")</f>
        <v/>
      </c>
    </row>
    <row r="195">
      <c r="A195" t="n">
        <v>194</v>
      </c>
      <c r="B195" t="n">
        <v>51</v>
      </c>
      <c r="C195" s="5" t="n">
        <v>11840</v>
      </c>
      <c r="D195" t="n">
        <v>0.0216</v>
      </c>
      <c r="E195" t="n">
        <v>91</v>
      </c>
      <c r="F195" s="5" t="n">
        <v>118400</v>
      </c>
      <c r="G195">
        <f>MIN(65-B195, MAX(0, E195-B195))</f>
        <v/>
      </c>
      <c r="H195">
        <f>B195+G195</f>
        <v/>
      </c>
      <c r="I195" s="5">
        <f>F195*(1+D195)^G195</f>
        <v/>
      </c>
      <c r="J195">
        <f>(1+D195)/(1+Parameters!$B$5)</f>
        <v/>
      </c>
      <c r="K195" s="5">
        <f>IF(G195&gt;0, IF(ROUND(J195, 6)=1, G195 * C195 * (1+Parameters!$B$5)^-0.5, C195 * (1-J195^G195)/(1-J195) * (1+Parameters!$B$5)^-0.5), 0)</f>
        <v/>
      </c>
      <c r="L195" s="5">
        <f>K195*(1-Parameters!$B$4)</f>
        <v/>
      </c>
      <c r="M195" s="5">
        <f>L195*(1+Parameters!$B$5)^G195</f>
        <v/>
      </c>
      <c r="N195" s="5">
        <f>IF(E195&gt;=65, (65-B195)*I195/Parameters!$B$6, 0)</f>
        <v/>
      </c>
      <c r="O195">
        <f>IF(E195&gt;65, (1-(1+Parameters!$B$5)^-(E195-65))/Parameters!$B$5, 0)</f>
        <v/>
      </c>
      <c r="P195" s="5">
        <f>N195 * O195 * (1+Parameters!$B$5)^-(65-B195)</f>
        <v/>
      </c>
      <c r="Q195" s="5">
        <f>IF(AND(E195&gt;=66, E195&lt;=69), 5*N195*(1+Parameters!$B$5)^-(E195-B195), 0)</f>
        <v/>
      </c>
      <c r="R195" s="5">
        <f>IF(E195&lt;=65, L195, 0)</f>
        <v/>
      </c>
      <c r="S195" s="5">
        <f>N195 * (Parameters!$B$6 / Parameters!$B$9)</f>
        <v/>
      </c>
      <c r="T195" s="5">
        <f>P195 + Q195</f>
        <v/>
      </c>
      <c r="U195">
        <f>IF(E195&gt;65, (1-((1+Parameters!$B$10)/(1+Parameters!$B$5))^(E195-65))/(((1+Parameters!$B$5)/(1+Parameters!$B$10))-1), 0)</f>
        <v/>
      </c>
      <c r="V195" s="5">
        <f>S195 * U195 * (1+Parameters!$B$5)^-(65-B195)</f>
        <v/>
      </c>
      <c r="W195" s="5">
        <f>IF(AND(E195&gt;=66, E195&lt;=69), 5*S195*(1+Parameters!$B$5)^-(E195-B195), 0)</f>
        <v/>
      </c>
      <c r="X195" s="5">
        <f>V195 + W195 + R195</f>
        <v/>
      </c>
      <c r="Y195" s="5">
        <f>IF(E195&gt;=65, M195/S195, "")</f>
        <v/>
      </c>
    </row>
    <row r="196">
      <c r="A196" t="n">
        <v>195</v>
      </c>
      <c r="B196" t="n">
        <v>58</v>
      </c>
      <c r="C196" s="5" t="n">
        <v>18040</v>
      </c>
      <c r="D196" t="n">
        <v>0.034</v>
      </c>
      <c r="E196" t="n">
        <v>79</v>
      </c>
      <c r="F196" s="5" t="n">
        <v>180400</v>
      </c>
      <c r="G196">
        <f>MIN(65-B196, MAX(0, E196-B196))</f>
        <v/>
      </c>
      <c r="H196">
        <f>B196+G196</f>
        <v/>
      </c>
      <c r="I196" s="5">
        <f>F196*(1+D196)^G196</f>
        <v/>
      </c>
      <c r="J196">
        <f>(1+D196)/(1+Parameters!$B$5)</f>
        <v/>
      </c>
      <c r="K196" s="5">
        <f>IF(G196&gt;0, IF(ROUND(J196, 6)=1, G196 * C196 * (1+Parameters!$B$5)^-0.5, C196 * (1-J196^G196)/(1-J196) * (1+Parameters!$B$5)^-0.5), 0)</f>
        <v/>
      </c>
      <c r="L196" s="5">
        <f>K196*(1-Parameters!$B$4)</f>
        <v/>
      </c>
      <c r="M196" s="5">
        <f>L196*(1+Parameters!$B$5)^G196</f>
        <v/>
      </c>
      <c r="N196" s="5">
        <f>IF(E196&gt;=65, (65-B196)*I196/Parameters!$B$6, 0)</f>
        <v/>
      </c>
      <c r="O196">
        <f>IF(E196&gt;65, (1-(1+Parameters!$B$5)^-(E196-65))/Parameters!$B$5, 0)</f>
        <v/>
      </c>
      <c r="P196" s="5">
        <f>N196 * O196 * (1+Parameters!$B$5)^-(65-B196)</f>
        <v/>
      </c>
      <c r="Q196" s="5">
        <f>IF(AND(E196&gt;=66, E196&lt;=69), 5*N196*(1+Parameters!$B$5)^-(E196-B196), 0)</f>
        <v/>
      </c>
      <c r="R196" s="5">
        <f>IF(E196&lt;=65, L196, 0)</f>
        <v/>
      </c>
      <c r="S196" s="5">
        <f>N196 * (Parameters!$B$6 / Parameters!$B$9)</f>
        <v/>
      </c>
      <c r="T196" s="5">
        <f>P196 + Q196</f>
        <v/>
      </c>
      <c r="U196">
        <f>IF(E196&gt;65, (1-((1+Parameters!$B$10)/(1+Parameters!$B$5))^(E196-65))/(((1+Parameters!$B$5)/(1+Parameters!$B$10))-1), 0)</f>
        <v/>
      </c>
      <c r="V196" s="5">
        <f>S196 * U196 * (1+Parameters!$B$5)^-(65-B196)</f>
        <v/>
      </c>
      <c r="W196" s="5">
        <f>IF(AND(E196&gt;=66, E196&lt;=69), 5*S196*(1+Parameters!$B$5)^-(E196-B196), 0)</f>
        <v/>
      </c>
      <c r="X196" s="5">
        <f>V196 + W196 + R196</f>
        <v/>
      </c>
      <c r="Y196" s="5">
        <f>IF(E196&gt;=65, M196/S196, "")</f>
        <v/>
      </c>
    </row>
    <row r="197">
      <c r="A197" t="n">
        <v>196</v>
      </c>
      <c r="B197" t="n">
        <v>48</v>
      </c>
      <c r="C197" s="5" t="n">
        <v>9630</v>
      </c>
      <c r="D197" t="n">
        <v>0.0288</v>
      </c>
      <c r="E197" t="n">
        <v>94</v>
      </c>
      <c r="F197" s="5" t="n">
        <v>96300</v>
      </c>
      <c r="G197">
        <f>MIN(65-B197, MAX(0, E197-B197))</f>
        <v/>
      </c>
      <c r="H197">
        <f>B197+G197</f>
        <v/>
      </c>
      <c r="I197" s="5">
        <f>F197*(1+D197)^G197</f>
        <v/>
      </c>
      <c r="J197">
        <f>(1+D197)/(1+Parameters!$B$5)</f>
        <v/>
      </c>
      <c r="K197" s="5">
        <f>IF(G197&gt;0, IF(ROUND(J197, 6)=1, G197 * C197 * (1+Parameters!$B$5)^-0.5, C197 * (1-J197^G197)/(1-J197) * (1+Parameters!$B$5)^-0.5), 0)</f>
        <v/>
      </c>
      <c r="L197" s="5">
        <f>K197*(1-Parameters!$B$4)</f>
        <v/>
      </c>
      <c r="M197" s="5">
        <f>L197*(1+Parameters!$B$5)^G197</f>
        <v/>
      </c>
      <c r="N197" s="5">
        <f>IF(E197&gt;=65, (65-B197)*I197/Parameters!$B$6, 0)</f>
        <v/>
      </c>
      <c r="O197">
        <f>IF(E197&gt;65, (1-(1+Parameters!$B$5)^-(E197-65))/Parameters!$B$5, 0)</f>
        <v/>
      </c>
      <c r="P197" s="5">
        <f>N197 * O197 * (1+Parameters!$B$5)^-(65-B197)</f>
        <v/>
      </c>
      <c r="Q197" s="5">
        <f>IF(AND(E197&gt;=66, E197&lt;=69), 5*N197*(1+Parameters!$B$5)^-(E197-B197), 0)</f>
        <v/>
      </c>
      <c r="R197" s="5">
        <f>IF(E197&lt;=65, L197, 0)</f>
        <v/>
      </c>
      <c r="S197" s="5">
        <f>N197 * (Parameters!$B$6 / Parameters!$B$9)</f>
        <v/>
      </c>
      <c r="T197" s="5">
        <f>P197 + Q197</f>
        <v/>
      </c>
      <c r="U197">
        <f>IF(E197&gt;65, (1-((1+Parameters!$B$10)/(1+Parameters!$B$5))^(E197-65))/(((1+Parameters!$B$5)/(1+Parameters!$B$10))-1), 0)</f>
        <v/>
      </c>
      <c r="V197" s="5">
        <f>S197 * U197 * (1+Parameters!$B$5)^-(65-B197)</f>
        <v/>
      </c>
      <c r="W197" s="5">
        <f>IF(AND(E197&gt;=66, E197&lt;=69), 5*S197*(1+Parameters!$B$5)^-(E197-B197), 0)</f>
        <v/>
      </c>
      <c r="X197" s="5">
        <f>V197 + W197 + R197</f>
        <v/>
      </c>
      <c r="Y197" s="5">
        <f>IF(E197&gt;=65, M197/S197, "")</f>
        <v/>
      </c>
    </row>
    <row r="198">
      <c r="A198" t="n">
        <v>197</v>
      </c>
      <c r="B198" t="n">
        <v>54</v>
      </c>
      <c r="C198" s="5" t="n">
        <v>4590</v>
      </c>
      <c r="D198" t="n">
        <v>0.0193</v>
      </c>
      <c r="E198" t="n">
        <v>76</v>
      </c>
      <c r="F198" s="5" t="n">
        <v>45900</v>
      </c>
      <c r="G198">
        <f>MIN(65-B198, MAX(0, E198-B198))</f>
        <v/>
      </c>
      <c r="H198">
        <f>B198+G198</f>
        <v/>
      </c>
      <c r="I198" s="5">
        <f>F198*(1+D198)^G198</f>
        <v/>
      </c>
      <c r="J198">
        <f>(1+D198)/(1+Parameters!$B$5)</f>
        <v/>
      </c>
      <c r="K198" s="5">
        <f>IF(G198&gt;0, IF(ROUND(J198, 6)=1, G198 * C198 * (1+Parameters!$B$5)^-0.5, C198 * (1-J198^G198)/(1-J198) * (1+Parameters!$B$5)^-0.5), 0)</f>
        <v/>
      </c>
      <c r="L198" s="5">
        <f>K198*(1-Parameters!$B$4)</f>
        <v/>
      </c>
      <c r="M198" s="5">
        <f>L198*(1+Parameters!$B$5)^G198</f>
        <v/>
      </c>
      <c r="N198" s="5">
        <f>IF(E198&gt;=65, (65-B198)*I198/Parameters!$B$6, 0)</f>
        <v/>
      </c>
      <c r="O198">
        <f>IF(E198&gt;65, (1-(1+Parameters!$B$5)^-(E198-65))/Parameters!$B$5, 0)</f>
        <v/>
      </c>
      <c r="P198" s="5">
        <f>N198 * O198 * (1+Parameters!$B$5)^-(65-B198)</f>
        <v/>
      </c>
      <c r="Q198" s="5">
        <f>IF(AND(E198&gt;=66, E198&lt;=69), 5*N198*(1+Parameters!$B$5)^-(E198-B198), 0)</f>
        <v/>
      </c>
      <c r="R198" s="5">
        <f>IF(E198&lt;=65, L198, 0)</f>
        <v/>
      </c>
      <c r="S198" s="5">
        <f>N198 * (Parameters!$B$6 / Parameters!$B$9)</f>
        <v/>
      </c>
      <c r="T198" s="5">
        <f>P198 + Q198</f>
        <v/>
      </c>
      <c r="U198">
        <f>IF(E198&gt;65, (1-((1+Parameters!$B$10)/(1+Parameters!$B$5))^(E198-65))/(((1+Parameters!$B$5)/(1+Parameters!$B$10))-1), 0)</f>
        <v/>
      </c>
      <c r="V198" s="5">
        <f>S198 * U198 * (1+Parameters!$B$5)^-(65-B198)</f>
        <v/>
      </c>
      <c r="W198" s="5">
        <f>IF(AND(E198&gt;=66, E198&lt;=69), 5*S198*(1+Parameters!$B$5)^-(E198-B198), 0)</f>
        <v/>
      </c>
      <c r="X198" s="5">
        <f>V198 + W198 + R198</f>
        <v/>
      </c>
      <c r="Y198" s="5">
        <f>IF(E198&gt;=65, M198/S198, "")</f>
        <v/>
      </c>
    </row>
    <row r="199">
      <c r="A199" t="n">
        <v>198</v>
      </c>
      <c r="B199" t="n">
        <v>36</v>
      </c>
      <c r="C199" s="5" t="n">
        <v>4230</v>
      </c>
      <c r="D199" t="n">
        <v>0.0234</v>
      </c>
      <c r="E199" t="n">
        <v>96</v>
      </c>
      <c r="F199" s="5" t="n">
        <v>42300</v>
      </c>
      <c r="G199">
        <f>MIN(65-B199, MAX(0, E199-B199))</f>
        <v/>
      </c>
      <c r="H199">
        <f>B199+G199</f>
        <v/>
      </c>
      <c r="I199" s="5">
        <f>F199*(1+D199)^G199</f>
        <v/>
      </c>
      <c r="J199">
        <f>(1+D199)/(1+Parameters!$B$5)</f>
        <v/>
      </c>
      <c r="K199" s="5">
        <f>IF(G199&gt;0, IF(ROUND(J199, 6)=1, G199 * C199 * (1+Parameters!$B$5)^-0.5, C199 * (1-J199^G199)/(1-J199) * (1+Parameters!$B$5)^-0.5), 0)</f>
        <v/>
      </c>
      <c r="L199" s="5">
        <f>K199*(1-Parameters!$B$4)</f>
        <v/>
      </c>
      <c r="M199" s="5">
        <f>L199*(1+Parameters!$B$5)^G199</f>
        <v/>
      </c>
      <c r="N199" s="5">
        <f>IF(E199&gt;=65, (65-B199)*I199/Parameters!$B$6, 0)</f>
        <v/>
      </c>
      <c r="O199">
        <f>IF(E199&gt;65, (1-(1+Parameters!$B$5)^-(E199-65))/Parameters!$B$5, 0)</f>
        <v/>
      </c>
      <c r="P199" s="5">
        <f>N199 * O199 * (1+Parameters!$B$5)^-(65-B199)</f>
        <v/>
      </c>
      <c r="Q199" s="5">
        <f>IF(AND(E199&gt;=66, E199&lt;=69), 5*N199*(1+Parameters!$B$5)^-(E199-B199), 0)</f>
        <v/>
      </c>
      <c r="R199" s="5">
        <f>IF(E199&lt;=65, L199, 0)</f>
        <v/>
      </c>
      <c r="S199" s="5">
        <f>N199 * (Parameters!$B$6 / Parameters!$B$9)</f>
        <v/>
      </c>
      <c r="T199" s="5">
        <f>P199 + Q199</f>
        <v/>
      </c>
      <c r="U199">
        <f>IF(E199&gt;65, (1-((1+Parameters!$B$10)/(1+Parameters!$B$5))^(E199-65))/(((1+Parameters!$B$5)/(1+Parameters!$B$10))-1), 0)</f>
        <v/>
      </c>
      <c r="V199" s="5">
        <f>S199 * U199 * (1+Parameters!$B$5)^-(65-B199)</f>
        <v/>
      </c>
      <c r="W199" s="5">
        <f>IF(AND(E199&gt;=66, E199&lt;=69), 5*S199*(1+Parameters!$B$5)^-(E199-B199), 0)</f>
        <v/>
      </c>
      <c r="X199" s="5">
        <f>V199 + W199 + R199</f>
        <v/>
      </c>
      <c r="Y199" s="5">
        <f>IF(E199&gt;=65, M199/S199, "")</f>
        <v/>
      </c>
    </row>
    <row r="200">
      <c r="A200" t="n">
        <v>199</v>
      </c>
      <c r="B200" t="n">
        <v>30</v>
      </c>
      <c r="C200" s="5" t="n">
        <v>2440</v>
      </c>
      <c r="D200" t="n">
        <v>0.0136</v>
      </c>
      <c r="E200" t="n">
        <v>106</v>
      </c>
      <c r="F200" s="5" t="n">
        <v>24400</v>
      </c>
      <c r="G200">
        <f>MIN(65-B200, MAX(0, E200-B200))</f>
        <v/>
      </c>
      <c r="H200">
        <f>B200+G200</f>
        <v/>
      </c>
      <c r="I200" s="5">
        <f>F200*(1+D200)^G200</f>
        <v/>
      </c>
      <c r="J200">
        <f>(1+D200)/(1+Parameters!$B$5)</f>
        <v/>
      </c>
      <c r="K200" s="5">
        <f>IF(G200&gt;0, IF(ROUND(J200, 6)=1, G200 * C200 * (1+Parameters!$B$5)^-0.5, C200 * (1-J200^G200)/(1-J200) * (1+Parameters!$B$5)^-0.5), 0)</f>
        <v/>
      </c>
      <c r="L200" s="5">
        <f>K200*(1-Parameters!$B$4)</f>
        <v/>
      </c>
      <c r="M200" s="5">
        <f>L200*(1+Parameters!$B$5)^G200</f>
        <v/>
      </c>
      <c r="N200" s="5">
        <f>IF(E200&gt;=65, (65-B200)*I200/Parameters!$B$6, 0)</f>
        <v/>
      </c>
      <c r="O200">
        <f>IF(E200&gt;65, (1-(1+Parameters!$B$5)^-(E200-65))/Parameters!$B$5, 0)</f>
        <v/>
      </c>
      <c r="P200" s="5">
        <f>N200 * O200 * (1+Parameters!$B$5)^-(65-B200)</f>
        <v/>
      </c>
      <c r="Q200" s="5">
        <f>IF(AND(E200&gt;=66, E200&lt;=69), 5*N200*(1+Parameters!$B$5)^-(E200-B200), 0)</f>
        <v/>
      </c>
      <c r="R200" s="5">
        <f>IF(E200&lt;=65, L200, 0)</f>
        <v/>
      </c>
      <c r="S200" s="5">
        <f>N200 * (Parameters!$B$6 / Parameters!$B$9)</f>
        <v/>
      </c>
      <c r="T200" s="5">
        <f>P200 + Q200</f>
        <v/>
      </c>
      <c r="U200">
        <f>IF(E200&gt;65, (1-((1+Parameters!$B$10)/(1+Parameters!$B$5))^(E200-65))/(((1+Parameters!$B$5)/(1+Parameters!$B$10))-1), 0)</f>
        <v/>
      </c>
      <c r="V200" s="5">
        <f>S200 * U200 * (1+Parameters!$B$5)^-(65-B200)</f>
        <v/>
      </c>
      <c r="W200" s="5">
        <f>IF(AND(E200&gt;=66, E200&lt;=69), 5*S200*(1+Parameters!$B$5)^-(E200-B200), 0)</f>
        <v/>
      </c>
      <c r="X200" s="5">
        <f>V200 + W200 + R200</f>
        <v/>
      </c>
      <c r="Y200" s="5">
        <f>IF(E200&gt;=65, M200/S200, "")</f>
        <v/>
      </c>
    </row>
    <row r="201">
      <c r="A201" t="n">
        <v>200</v>
      </c>
      <c r="B201" t="n">
        <v>53</v>
      </c>
      <c r="C201" s="5" t="n">
        <v>9470</v>
      </c>
      <c r="D201" t="n">
        <v>0.0158</v>
      </c>
      <c r="E201" t="n">
        <v>60</v>
      </c>
      <c r="F201" s="5" t="n">
        <v>94700</v>
      </c>
      <c r="G201">
        <f>MIN(65-B201, MAX(0, E201-B201))</f>
        <v/>
      </c>
      <c r="H201">
        <f>B201+G201</f>
        <v/>
      </c>
      <c r="I201" s="5">
        <f>F201*(1+D201)^G201</f>
        <v/>
      </c>
      <c r="J201">
        <f>(1+D201)/(1+Parameters!$B$5)</f>
        <v/>
      </c>
      <c r="K201" s="5">
        <f>IF(G201&gt;0, IF(ROUND(J201, 6)=1, G201 * C201 * (1+Parameters!$B$5)^-0.5, C201 * (1-J201^G201)/(1-J201) * (1+Parameters!$B$5)^-0.5), 0)</f>
        <v/>
      </c>
      <c r="L201" s="5">
        <f>K201*(1-Parameters!$B$4)</f>
        <v/>
      </c>
      <c r="M201" s="5">
        <f>L201*(1+Parameters!$B$5)^G201</f>
        <v/>
      </c>
      <c r="N201" s="5">
        <f>IF(E201&gt;=65, (65-B201)*I201/Parameters!$B$6, 0)</f>
        <v/>
      </c>
      <c r="O201">
        <f>IF(E201&gt;65, (1-(1+Parameters!$B$5)^-(E201-65))/Parameters!$B$5, 0)</f>
        <v/>
      </c>
      <c r="P201" s="5">
        <f>N201 * O201 * (1+Parameters!$B$5)^-(65-B201)</f>
        <v/>
      </c>
      <c r="Q201" s="5">
        <f>IF(AND(E201&gt;=66, E201&lt;=69), 5*N201*(1+Parameters!$B$5)^-(E201-B201), 0)</f>
        <v/>
      </c>
      <c r="R201" s="5">
        <f>IF(E201&lt;=65, L201, 0)</f>
        <v/>
      </c>
      <c r="S201" s="5">
        <f>N201 * (Parameters!$B$6 / Parameters!$B$9)</f>
        <v/>
      </c>
      <c r="T201" s="5">
        <f>P201 + Q201</f>
        <v/>
      </c>
      <c r="U201">
        <f>IF(E201&gt;65, (1-((1+Parameters!$B$10)/(1+Parameters!$B$5))^(E201-65))/(((1+Parameters!$B$5)/(1+Parameters!$B$10))-1), 0)</f>
        <v/>
      </c>
      <c r="V201" s="5">
        <f>S201 * U201 * (1+Parameters!$B$5)^-(65-B201)</f>
        <v/>
      </c>
      <c r="W201" s="5">
        <f>IF(AND(E201&gt;=66, E201&lt;=69), 5*S201*(1+Parameters!$B$5)^-(E201-B201), 0)</f>
        <v/>
      </c>
      <c r="X201" s="5">
        <f>V201 + W201 + R201</f>
        <v/>
      </c>
      <c r="Y201" s="5">
        <f>IF(E201&gt;=65, M201/S201, "")</f>
        <v/>
      </c>
    </row>
    <row r="202">
      <c r="A202" t="n">
        <v>201</v>
      </c>
      <c r="B202" t="n">
        <v>49</v>
      </c>
      <c r="C202" s="5" t="n">
        <v>4810</v>
      </c>
      <c r="D202" t="n">
        <v>0.0536</v>
      </c>
      <c r="E202" t="n">
        <v>81</v>
      </c>
      <c r="F202" s="5" t="n">
        <v>48100</v>
      </c>
      <c r="G202">
        <f>MIN(65-B202, MAX(0, E202-B202))</f>
        <v/>
      </c>
      <c r="H202">
        <f>B202+G202</f>
        <v/>
      </c>
      <c r="I202" s="5">
        <f>F202*(1+D202)^G202</f>
        <v/>
      </c>
      <c r="J202">
        <f>(1+D202)/(1+Parameters!$B$5)</f>
        <v/>
      </c>
      <c r="K202" s="5">
        <f>IF(G202&gt;0, IF(ROUND(J202, 6)=1, G202 * C202 * (1+Parameters!$B$5)^-0.5, C202 * (1-J202^G202)/(1-J202) * (1+Parameters!$B$5)^-0.5), 0)</f>
        <v/>
      </c>
      <c r="L202" s="5">
        <f>K202*(1-Parameters!$B$4)</f>
        <v/>
      </c>
      <c r="M202" s="5">
        <f>L202*(1+Parameters!$B$5)^G202</f>
        <v/>
      </c>
      <c r="N202" s="5">
        <f>IF(E202&gt;=65, (65-B202)*I202/Parameters!$B$6, 0)</f>
        <v/>
      </c>
      <c r="O202">
        <f>IF(E202&gt;65, (1-(1+Parameters!$B$5)^-(E202-65))/Parameters!$B$5, 0)</f>
        <v/>
      </c>
      <c r="P202" s="5">
        <f>N202 * O202 * (1+Parameters!$B$5)^-(65-B202)</f>
        <v/>
      </c>
      <c r="Q202" s="5">
        <f>IF(AND(E202&gt;=66, E202&lt;=69), 5*N202*(1+Parameters!$B$5)^-(E202-B202), 0)</f>
        <v/>
      </c>
      <c r="R202" s="5">
        <f>IF(E202&lt;=65, L202, 0)</f>
        <v/>
      </c>
      <c r="S202" s="5">
        <f>N202 * (Parameters!$B$6 / Parameters!$B$9)</f>
        <v/>
      </c>
      <c r="T202" s="5">
        <f>P202 + Q202</f>
        <v/>
      </c>
      <c r="U202">
        <f>IF(E202&gt;65, (1-((1+Parameters!$B$10)/(1+Parameters!$B$5))^(E202-65))/(((1+Parameters!$B$5)/(1+Parameters!$B$10))-1), 0)</f>
        <v/>
      </c>
      <c r="V202" s="5">
        <f>S202 * U202 * (1+Parameters!$B$5)^-(65-B202)</f>
        <v/>
      </c>
      <c r="W202" s="5">
        <f>IF(AND(E202&gt;=66, E202&lt;=69), 5*S202*(1+Parameters!$B$5)^-(E202-B202), 0)</f>
        <v/>
      </c>
      <c r="X202" s="5">
        <f>V202 + W202 + R202</f>
        <v/>
      </c>
      <c r="Y202" s="5">
        <f>IF(E202&gt;=65, M202/S202, "")</f>
        <v/>
      </c>
    </row>
    <row r="203">
      <c r="A203" t="n">
        <v>202</v>
      </c>
      <c r="B203" t="n">
        <v>34</v>
      </c>
      <c r="C203" s="5" t="n">
        <v>1310</v>
      </c>
      <c r="D203" t="n">
        <v>0.0351</v>
      </c>
      <c r="E203" t="n">
        <v>68</v>
      </c>
      <c r="F203" s="5" t="n">
        <v>13100</v>
      </c>
      <c r="G203">
        <f>MIN(65-B203, MAX(0, E203-B203))</f>
        <v/>
      </c>
      <c r="H203">
        <f>B203+G203</f>
        <v/>
      </c>
      <c r="I203" s="5">
        <f>F203*(1+D203)^G203</f>
        <v/>
      </c>
      <c r="J203">
        <f>(1+D203)/(1+Parameters!$B$5)</f>
        <v/>
      </c>
      <c r="K203" s="5">
        <f>IF(G203&gt;0, IF(ROUND(J203, 6)=1, G203 * C203 * (1+Parameters!$B$5)^-0.5, C203 * (1-J203^G203)/(1-J203) * (1+Parameters!$B$5)^-0.5), 0)</f>
        <v/>
      </c>
      <c r="L203" s="5">
        <f>K203*(1-Parameters!$B$4)</f>
        <v/>
      </c>
      <c r="M203" s="5">
        <f>L203*(1+Parameters!$B$5)^G203</f>
        <v/>
      </c>
      <c r="N203" s="5">
        <f>IF(E203&gt;=65, (65-B203)*I203/Parameters!$B$6, 0)</f>
        <v/>
      </c>
      <c r="O203">
        <f>IF(E203&gt;65, (1-(1+Parameters!$B$5)^-(E203-65))/Parameters!$B$5, 0)</f>
        <v/>
      </c>
      <c r="P203" s="5">
        <f>N203 * O203 * (1+Parameters!$B$5)^-(65-B203)</f>
        <v/>
      </c>
      <c r="Q203" s="5">
        <f>IF(AND(E203&gt;=66, E203&lt;=69), 5*N203*(1+Parameters!$B$5)^-(E203-B203), 0)</f>
        <v/>
      </c>
      <c r="R203" s="5">
        <f>IF(E203&lt;=65, L203, 0)</f>
        <v/>
      </c>
      <c r="S203" s="5">
        <f>N203 * (Parameters!$B$6 / Parameters!$B$9)</f>
        <v/>
      </c>
      <c r="T203" s="5">
        <f>P203 + Q203</f>
        <v/>
      </c>
      <c r="U203">
        <f>IF(E203&gt;65, (1-((1+Parameters!$B$10)/(1+Parameters!$B$5))^(E203-65))/(((1+Parameters!$B$5)/(1+Parameters!$B$10))-1), 0)</f>
        <v/>
      </c>
      <c r="V203" s="5">
        <f>S203 * U203 * (1+Parameters!$B$5)^-(65-B203)</f>
        <v/>
      </c>
      <c r="W203" s="5">
        <f>IF(AND(E203&gt;=66, E203&lt;=69), 5*S203*(1+Parameters!$B$5)^-(E203-B203), 0)</f>
        <v/>
      </c>
      <c r="X203" s="5">
        <f>V203 + W203 + R203</f>
        <v/>
      </c>
      <c r="Y203" s="5">
        <f>IF(E203&gt;=65, M203/S203, "")</f>
        <v/>
      </c>
    </row>
    <row r="204">
      <c r="A204" t="n">
        <v>203</v>
      </c>
      <c r="B204" t="n">
        <v>37</v>
      </c>
      <c r="C204" s="5" t="n">
        <v>6280</v>
      </c>
      <c r="D204" t="n">
        <v>0.0306</v>
      </c>
      <c r="E204" t="n">
        <v>69</v>
      </c>
      <c r="F204" s="5" t="n">
        <v>62800</v>
      </c>
      <c r="G204">
        <f>MIN(65-B204, MAX(0, E204-B204))</f>
        <v/>
      </c>
      <c r="H204">
        <f>B204+G204</f>
        <v/>
      </c>
      <c r="I204" s="5">
        <f>F204*(1+D204)^G204</f>
        <v/>
      </c>
      <c r="J204">
        <f>(1+D204)/(1+Parameters!$B$5)</f>
        <v/>
      </c>
      <c r="K204" s="5">
        <f>IF(G204&gt;0, IF(ROUND(J204, 6)=1, G204 * C204 * (1+Parameters!$B$5)^-0.5, C204 * (1-J204^G204)/(1-J204) * (1+Parameters!$B$5)^-0.5), 0)</f>
        <v/>
      </c>
      <c r="L204" s="5">
        <f>K204*(1-Parameters!$B$4)</f>
        <v/>
      </c>
      <c r="M204" s="5">
        <f>L204*(1+Parameters!$B$5)^G204</f>
        <v/>
      </c>
      <c r="N204" s="5">
        <f>IF(E204&gt;=65, (65-B204)*I204/Parameters!$B$6, 0)</f>
        <v/>
      </c>
      <c r="O204">
        <f>IF(E204&gt;65, (1-(1+Parameters!$B$5)^-(E204-65))/Parameters!$B$5, 0)</f>
        <v/>
      </c>
      <c r="P204" s="5">
        <f>N204 * O204 * (1+Parameters!$B$5)^-(65-B204)</f>
        <v/>
      </c>
      <c r="Q204" s="5">
        <f>IF(AND(E204&gt;=66, E204&lt;=69), 5*N204*(1+Parameters!$B$5)^-(E204-B204), 0)</f>
        <v/>
      </c>
      <c r="R204" s="5">
        <f>IF(E204&lt;=65, L204, 0)</f>
        <v/>
      </c>
      <c r="S204" s="5">
        <f>N204 * (Parameters!$B$6 / Parameters!$B$9)</f>
        <v/>
      </c>
      <c r="T204" s="5">
        <f>P204 + Q204</f>
        <v/>
      </c>
      <c r="U204">
        <f>IF(E204&gt;65, (1-((1+Parameters!$B$10)/(1+Parameters!$B$5))^(E204-65))/(((1+Parameters!$B$5)/(1+Parameters!$B$10))-1), 0)</f>
        <v/>
      </c>
      <c r="V204" s="5">
        <f>S204 * U204 * (1+Parameters!$B$5)^-(65-B204)</f>
        <v/>
      </c>
      <c r="W204" s="5">
        <f>IF(AND(E204&gt;=66, E204&lt;=69), 5*S204*(1+Parameters!$B$5)^-(E204-B204), 0)</f>
        <v/>
      </c>
      <c r="X204" s="5">
        <f>V204 + W204 + R204</f>
        <v/>
      </c>
      <c r="Y204" s="5">
        <f>IF(E204&gt;=65, M204/S204, "")</f>
        <v/>
      </c>
    </row>
    <row r="205">
      <c r="A205" t="n">
        <v>204</v>
      </c>
      <c r="B205" t="n">
        <v>54</v>
      </c>
      <c r="C205" s="5" t="n">
        <v>9630</v>
      </c>
      <c r="D205" t="n">
        <v>0.032</v>
      </c>
      <c r="E205" t="n">
        <v>76</v>
      </c>
      <c r="F205" s="5" t="n">
        <v>96300</v>
      </c>
      <c r="G205">
        <f>MIN(65-B205, MAX(0, E205-B205))</f>
        <v/>
      </c>
      <c r="H205">
        <f>B205+G205</f>
        <v/>
      </c>
      <c r="I205" s="5">
        <f>F205*(1+D205)^G205</f>
        <v/>
      </c>
      <c r="J205">
        <f>(1+D205)/(1+Parameters!$B$5)</f>
        <v/>
      </c>
      <c r="K205" s="5">
        <f>IF(G205&gt;0, IF(ROUND(J205, 6)=1, G205 * C205 * (1+Parameters!$B$5)^-0.5, C205 * (1-J205^G205)/(1-J205) * (1+Parameters!$B$5)^-0.5), 0)</f>
        <v/>
      </c>
      <c r="L205" s="5">
        <f>K205*(1-Parameters!$B$4)</f>
        <v/>
      </c>
      <c r="M205" s="5">
        <f>L205*(1+Parameters!$B$5)^G205</f>
        <v/>
      </c>
      <c r="N205" s="5">
        <f>IF(E205&gt;=65, (65-B205)*I205/Parameters!$B$6, 0)</f>
        <v/>
      </c>
      <c r="O205">
        <f>IF(E205&gt;65, (1-(1+Parameters!$B$5)^-(E205-65))/Parameters!$B$5, 0)</f>
        <v/>
      </c>
      <c r="P205" s="5">
        <f>N205 * O205 * (1+Parameters!$B$5)^-(65-B205)</f>
        <v/>
      </c>
      <c r="Q205" s="5">
        <f>IF(AND(E205&gt;=66, E205&lt;=69), 5*N205*(1+Parameters!$B$5)^-(E205-B205), 0)</f>
        <v/>
      </c>
      <c r="R205" s="5">
        <f>IF(E205&lt;=65, L205, 0)</f>
        <v/>
      </c>
      <c r="S205" s="5">
        <f>N205 * (Parameters!$B$6 / Parameters!$B$9)</f>
        <v/>
      </c>
      <c r="T205" s="5">
        <f>P205 + Q205</f>
        <v/>
      </c>
      <c r="U205">
        <f>IF(E205&gt;65, (1-((1+Parameters!$B$10)/(1+Parameters!$B$5))^(E205-65))/(((1+Parameters!$B$5)/(1+Parameters!$B$10))-1), 0)</f>
        <v/>
      </c>
      <c r="V205" s="5">
        <f>S205 * U205 * (1+Parameters!$B$5)^-(65-B205)</f>
        <v/>
      </c>
      <c r="W205" s="5">
        <f>IF(AND(E205&gt;=66, E205&lt;=69), 5*S205*(1+Parameters!$B$5)^-(E205-B205), 0)</f>
        <v/>
      </c>
      <c r="X205" s="5">
        <f>V205 + W205 + R205</f>
        <v/>
      </c>
      <c r="Y205" s="5">
        <f>IF(E205&gt;=65, M205/S205, "")</f>
        <v/>
      </c>
    </row>
    <row r="206">
      <c r="A206" t="n">
        <v>205</v>
      </c>
      <c r="B206" t="n">
        <v>31</v>
      </c>
      <c r="C206" s="5" t="n">
        <v>3550</v>
      </c>
      <c r="D206" t="n">
        <v>0.0433</v>
      </c>
      <c r="E206" t="n">
        <v>96</v>
      </c>
      <c r="F206" s="5" t="n">
        <v>35500</v>
      </c>
      <c r="G206">
        <f>MIN(65-B206, MAX(0, E206-B206))</f>
        <v/>
      </c>
      <c r="H206">
        <f>B206+G206</f>
        <v/>
      </c>
      <c r="I206" s="5">
        <f>F206*(1+D206)^G206</f>
        <v/>
      </c>
      <c r="J206">
        <f>(1+D206)/(1+Parameters!$B$5)</f>
        <v/>
      </c>
      <c r="K206" s="5">
        <f>IF(G206&gt;0, IF(ROUND(J206, 6)=1, G206 * C206 * (1+Parameters!$B$5)^-0.5, C206 * (1-J206^G206)/(1-J206) * (1+Parameters!$B$5)^-0.5), 0)</f>
        <v/>
      </c>
      <c r="L206" s="5">
        <f>K206*(1-Parameters!$B$4)</f>
        <v/>
      </c>
      <c r="M206" s="5">
        <f>L206*(1+Parameters!$B$5)^G206</f>
        <v/>
      </c>
      <c r="N206" s="5">
        <f>IF(E206&gt;=65, (65-B206)*I206/Parameters!$B$6, 0)</f>
        <v/>
      </c>
      <c r="O206">
        <f>IF(E206&gt;65, (1-(1+Parameters!$B$5)^-(E206-65))/Parameters!$B$5, 0)</f>
        <v/>
      </c>
      <c r="P206" s="5">
        <f>N206 * O206 * (1+Parameters!$B$5)^-(65-B206)</f>
        <v/>
      </c>
      <c r="Q206" s="5">
        <f>IF(AND(E206&gt;=66, E206&lt;=69), 5*N206*(1+Parameters!$B$5)^-(E206-B206), 0)</f>
        <v/>
      </c>
      <c r="R206" s="5">
        <f>IF(E206&lt;=65, L206, 0)</f>
        <v/>
      </c>
      <c r="S206" s="5">
        <f>N206 * (Parameters!$B$6 / Parameters!$B$9)</f>
        <v/>
      </c>
      <c r="T206" s="5">
        <f>P206 + Q206</f>
        <v/>
      </c>
      <c r="U206">
        <f>IF(E206&gt;65, (1-((1+Parameters!$B$10)/(1+Parameters!$B$5))^(E206-65))/(((1+Parameters!$B$5)/(1+Parameters!$B$10))-1), 0)</f>
        <v/>
      </c>
      <c r="V206" s="5">
        <f>S206 * U206 * (1+Parameters!$B$5)^-(65-B206)</f>
        <v/>
      </c>
      <c r="W206" s="5">
        <f>IF(AND(E206&gt;=66, E206&lt;=69), 5*S206*(1+Parameters!$B$5)^-(E206-B206), 0)</f>
        <v/>
      </c>
      <c r="X206" s="5">
        <f>V206 + W206 + R206</f>
        <v/>
      </c>
      <c r="Y206" s="5">
        <f>IF(E206&gt;=65, M206/S206, "")</f>
        <v/>
      </c>
    </row>
    <row r="207">
      <c r="A207" t="n">
        <v>206</v>
      </c>
      <c r="B207" t="n">
        <v>45</v>
      </c>
      <c r="C207" s="5" t="n">
        <v>10710</v>
      </c>
      <c r="D207" t="n">
        <v>0.0539</v>
      </c>
      <c r="E207" t="n">
        <v>79</v>
      </c>
      <c r="F207" s="5" t="n">
        <v>107100</v>
      </c>
      <c r="G207">
        <f>MIN(65-B207, MAX(0, E207-B207))</f>
        <v/>
      </c>
      <c r="H207">
        <f>B207+G207</f>
        <v/>
      </c>
      <c r="I207" s="5">
        <f>F207*(1+D207)^G207</f>
        <v/>
      </c>
      <c r="J207">
        <f>(1+D207)/(1+Parameters!$B$5)</f>
        <v/>
      </c>
      <c r="K207" s="5">
        <f>IF(G207&gt;0, IF(ROUND(J207, 6)=1, G207 * C207 * (1+Parameters!$B$5)^-0.5, C207 * (1-J207^G207)/(1-J207) * (1+Parameters!$B$5)^-0.5), 0)</f>
        <v/>
      </c>
      <c r="L207" s="5">
        <f>K207*(1-Parameters!$B$4)</f>
        <v/>
      </c>
      <c r="M207" s="5">
        <f>L207*(1+Parameters!$B$5)^G207</f>
        <v/>
      </c>
      <c r="N207" s="5">
        <f>IF(E207&gt;=65, (65-B207)*I207/Parameters!$B$6, 0)</f>
        <v/>
      </c>
      <c r="O207">
        <f>IF(E207&gt;65, (1-(1+Parameters!$B$5)^-(E207-65))/Parameters!$B$5, 0)</f>
        <v/>
      </c>
      <c r="P207" s="5">
        <f>N207 * O207 * (1+Parameters!$B$5)^-(65-B207)</f>
        <v/>
      </c>
      <c r="Q207" s="5">
        <f>IF(AND(E207&gt;=66, E207&lt;=69), 5*N207*(1+Parameters!$B$5)^-(E207-B207), 0)</f>
        <v/>
      </c>
      <c r="R207" s="5">
        <f>IF(E207&lt;=65, L207, 0)</f>
        <v/>
      </c>
      <c r="S207" s="5">
        <f>N207 * (Parameters!$B$6 / Parameters!$B$9)</f>
        <v/>
      </c>
      <c r="T207" s="5">
        <f>P207 + Q207</f>
        <v/>
      </c>
      <c r="U207">
        <f>IF(E207&gt;65, (1-((1+Parameters!$B$10)/(1+Parameters!$B$5))^(E207-65))/(((1+Parameters!$B$5)/(1+Parameters!$B$10))-1), 0)</f>
        <v/>
      </c>
      <c r="V207" s="5">
        <f>S207 * U207 * (1+Parameters!$B$5)^-(65-B207)</f>
        <v/>
      </c>
      <c r="W207" s="5">
        <f>IF(AND(E207&gt;=66, E207&lt;=69), 5*S207*(1+Parameters!$B$5)^-(E207-B207), 0)</f>
        <v/>
      </c>
      <c r="X207" s="5">
        <f>V207 + W207 + R207</f>
        <v/>
      </c>
      <c r="Y207" s="5">
        <f>IF(E207&gt;=65, M207/S207, "")</f>
        <v/>
      </c>
    </row>
    <row r="208">
      <c r="A208" t="n">
        <v>207</v>
      </c>
      <c r="B208" t="n">
        <v>26</v>
      </c>
      <c r="C208" s="5" t="n">
        <v>1830</v>
      </c>
      <c r="D208" t="n">
        <v>0.0298</v>
      </c>
      <c r="E208" t="n">
        <v>97</v>
      </c>
      <c r="F208" s="5" t="n">
        <v>18300</v>
      </c>
      <c r="G208">
        <f>MIN(65-B208, MAX(0, E208-B208))</f>
        <v/>
      </c>
      <c r="H208">
        <f>B208+G208</f>
        <v/>
      </c>
      <c r="I208" s="5">
        <f>F208*(1+D208)^G208</f>
        <v/>
      </c>
      <c r="J208">
        <f>(1+D208)/(1+Parameters!$B$5)</f>
        <v/>
      </c>
      <c r="K208" s="5">
        <f>IF(G208&gt;0, IF(ROUND(J208, 6)=1, G208 * C208 * (1+Parameters!$B$5)^-0.5, C208 * (1-J208^G208)/(1-J208) * (1+Parameters!$B$5)^-0.5), 0)</f>
        <v/>
      </c>
      <c r="L208" s="5">
        <f>K208*(1-Parameters!$B$4)</f>
        <v/>
      </c>
      <c r="M208" s="5">
        <f>L208*(1+Parameters!$B$5)^G208</f>
        <v/>
      </c>
      <c r="N208" s="5">
        <f>IF(E208&gt;=65, (65-B208)*I208/Parameters!$B$6, 0)</f>
        <v/>
      </c>
      <c r="O208">
        <f>IF(E208&gt;65, (1-(1+Parameters!$B$5)^-(E208-65))/Parameters!$B$5, 0)</f>
        <v/>
      </c>
      <c r="P208" s="5">
        <f>N208 * O208 * (1+Parameters!$B$5)^-(65-B208)</f>
        <v/>
      </c>
      <c r="Q208" s="5">
        <f>IF(AND(E208&gt;=66, E208&lt;=69), 5*N208*(1+Parameters!$B$5)^-(E208-B208), 0)</f>
        <v/>
      </c>
      <c r="R208" s="5">
        <f>IF(E208&lt;=65, L208, 0)</f>
        <v/>
      </c>
      <c r="S208" s="5">
        <f>N208 * (Parameters!$B$6 / Parameters!$B$9)</f>
        <v/>
      </c>
      <c r="T208" s="5">
        <f>P208 + Q208</f>
        <v/>
      </c>
      <c r="U208">
        <f>IF(E208&gt;65, (1-((1+Parameters!$B$10)/(1+Parameters!$B$5))^(E208-65))/(((1+Parameters!$B$5)/(1+Parameters!$B$10))-1), 0)</f>
        <v/>
      </c>
      <c r="V208" s="5">
        <f>S208 * U208 * (1+Parameters!$B$5)^-(65-B208)</f>
        <v/>
      </c>
      <c r="W208" s="5">
        <f>IF(AND(E208&gt;=66, E208&lt;=69), 5*S208*(1+Parameters!$B$5)^-(E208-B208), 0)</f>
        <v/>
      </c>
      <c r="X208" s="5">
        <f>V208 + W208 + R208</f>
        <v/>
      </c>
      <c r="Y208" s="5">
        <f>IF(E208&gt;=65, M208/S208, "")</f>
        <v/>
      </c>
    </row>
    <row r="209">
      <c r="A209" t="n">
        <v>208</v>
      </c>
      <c r="B209" t="n">
        <v>26</v>
      </c>
      <c r="C209" s="5" t="n">
        <v>5680</v>
      </c>
      <c r="D209" t="n">
        <v>0.0388</v>
      </c>
      <c r="E209" t="n">
        <v>89</v>
      </c>
      <c r="F209" s="5" t="n">
        <v>56800</v>
      </c>
      <c r="G209">
        <f>MIN(65-B209, MAX(0, E209-B209))</f>
        <v/>
      </c>
      <c r="H209">
        <f>B209+G209</f>
        <v/>
      </c>
      <c r="I209" s="5">
        <f>F209*(1+D209)^G209</f>
        <v/>
      </c>
      <c r="J209">
        <f>(1+D209)/(1+Parameters!$B$5)</f>
        <v/>
      </c>
      <c r="K209" s="5">
        <f>IF(G209&gt;0, IF(ROUND(J209, 6)=1, G209 * C209 * (1+Parameters!$B$5)^-0.5, C209 * (1-J209^G209)/(1-J209) * (1+Parameters!$B$5)^-0.5), 0)</f>
        <v/>
      </c>
      <c r="L209" s="5">
        <f>K209*(1-Parameters!$B$4)</f>
        <v/>
      </c>
      <c r="M209" s="5">
        <f>L209*(1+Parameters!$B$5)^G209</f>
        <v/>
      </c>
      <c r="N209" s="5">
        <f>IF(E209&gt;=65, (65-B209)*I209/Parameters!$B$6, 0)</f>
        <v/>
      </c>
      <c r="O209">
        <f>IF(E209&gt;65, (1-(1+Parameters!$B$5)^-(E209-65))/Parameters!$B$5, 0)</f>
        <v/>
      </c>
      <c r="P209" s="5">
        <f>N209 * O209 * (1+Parameters!$B$5)^-(65-B209)</f>
        <v/>
      </c>
      <c r="Q209" s="5">
        <f>IF(AND(E209&gt;=66, E209&lt;=69), 5*N209*(1+Parameters!$B$5)^-(E209-B209), 0)</f>
        <v/>
      </c>
      <c r="R209" s="5">
        <f>IF(E209&lt;=65, L209, 0)</f>
        <v/>
      </c>
      <c r="S209" s="5">
        <f>N209 * (Parameters!$B$6 / Parameters!$B$9)</f>
        <v/>
      </c>
      <c r="T209" s="5">
        <f>P209 + Q209</f>
        <v/>
      </c>
      <c r="U209">
        <f>IF(E209&gt;65, (1-((1+Parameters!$B$10)/(1+Parameters!$B$5))^(E209-65))/(((1+Parameters!$B$5)/(1+Parameters!$B$10))-1), 0)</f>
        <v/>
      </c>
      <c r="V209" s="5">
        <f>S209 * U209 * (1+Parameters!$B$5)^-(65-B209)</f>
        <v/>
      </c>
      <c r="W209" s="5">
        <f>IF(AND(E209&gt;=66, E209&lt;=69), 5*S209*(1+Parameters!$B$5)^-(E209-B209), 0)</f>
        <v/>
      </c>
      <c r="X209" s="5">
        <f>V209 + W209 + R209</f>
        <v/>
      </c>
      <c r="Y209" s="5">
        <f>IF(E209&gt;=65, M209/S209, "")</f>
        <v/>
      </c>
    </row>
    <row r="210">
      <c r="A210" t="n">
        <v>209</v>
      </c>
      <c r="B210" t="n">
        <v>28</v>
      </c>
      <c r="C210" s="5" t="n">
        <v>2060</v>
      </c>
      <c r="D210" t="n">
        <v>0.0316</v>
      </c>
      <c r="E210" t="n">
        <v>92</v>
      </c>
      <c r="F210" s="5" t="n">
        <v>20600</v>
      </c>
      <c r="G210">
        <f>MIN(65-B210, MAX(0, E210-B210))</f>
        <v/>
      </c>
      <c r="H210">
        <f>B210+G210</f>
        <v/>
      </c>
      <c r="I210" s="5">
        <f>F210*(1+D210)^G210</f>
        <v/>
      </c>
      <c r="J210">
        <f>(1+D210)/(1+Parameters!$B$5)</f>
        <v/>
      </c>
      <c r="K210" s="5">
        <f>IF(G210&gt;0, IF(ROUND(J210, 6)=1, G210 * C210 * (1+Parameters!$B$5)^-0.5, C210 * (1-J210^G210)/(1-J210) * (1+Parameters!$B$5)^-0.5), 0)</f>
        <v/>
      </c>
      <c r="L210" s="5">
        <f>K210*(1-Parameters!$B$4)</f>
        <v/>
      </c>
      <c r="M210" s="5">
        <f>L210*(1+Parameters!$B$5)^G210</f>
        <v/>
      </c>
      <c r="N210" s="5">
        <f>IF(E210&gt;=65, (65-B210)*I210/Parameters!$B$6, 0)</f>
        <v/>
      </c>
      <c r="O210">
        <f>IF(E210&gt;65, (1-(1+Parameters!$B$5)^-(E210-65))/Parameters!$B$5, 0)</f>
        <v/>
      </c>
      <c r="P210" s="5">
        <f>N210 * O210 * (1+Parameters!$B$5)^-(65-B210)</f>
        <v/>
      </c>
      <c r="Q210" s="5">
        <f>IF(AND(E210&gt;=66, E210&lt;=69), 5*N210*(1+Parameters!$B$5)^-(E210-B210), 0)</f>
        <v/>
      </c>
      <c r="R210" s="5">
        <f>IF(E210&lt;=65, L210, 0)</f>
        <v/>
      </c>
      <c r="S210" s="5">
        <f>N210 * (Parameters!$B$6 / Parameters!$B$9)</f>
        <v/>
      </c>
      <c r="T210" s="5">
        <f>P210 + Q210</f>
        <v/>
      </c>
      <c r="U210">
        <f>IF(E210&gt;65, (1-((1+Parameters!$B$10)/(1+Parameters!$B$5))^(E210-65))/(((1+Parameters!$B$5)/(1+Parameters!$B$10))-1), 0)</f>
        <v/>
      </c>
      <c r="V210" s="5">
        <f>S210 * U210 * (1+Parameters!$B$5)^-(65-B210)</f>
        <v/>
      </c>
      <c r="W210" s="5">
        <f>IF(AND(E210&gt;=66, E210&lt;=69), 5*S210*(1+Parameters!$B$5)^-(E210-B210), 0)</f>
        <v/>
      </c>
      <c r="X210" s="5">
        <f>V210 + W210 + R210</f>
        <v/>
      </c>
      <c r="Y210" s="5">
        <f>IF(E210&gt;=65, M210/S210, "")</f>
        <v/>
      </c>
    </row>
    <row r="211">
      <c r="A211" t="n">
        <v>210</v>
      </c>
      <c r="B211" t="n">
        <v>23</v>
      </c>
      <c r="C211" s="5" t="n">
        <v>2850</v>
      </c>
      <c r="D211" t="n">
        <v>0.05</v>
      </c>
      <c r="E211" t="n">
        <v>82</v>
      </c>
      <c r="F211" s="5" t="n">
        <v>28500</v>
      </c>
      <c r="G211">
        <f>MIN(65-B211, MAX(0, E211-B211))</f>
        <v/>
      </c>
      <c r="H211">
        <f>B211+G211</f>
        <v/>
      </c>
      <c r="I211" s="5">
        <f>F211*(1+D211)^G211</f>
        <v/>
      </c>
      <c r="J211">
        <f>(1+D211)/(1+Parameters!$B$5)</f>
        <v/>
      </c>
      <c r="K211" s="5">
        <f>IF(G211&gt;0, IF(ROUND(J211, 6)=1, G211 * C211 * (1+Parameters!$B$5)^-0.5, C211 * (1-J211^G211)/(1-J211) * (1+Parameters!$B$5)^-0.5), 0)</f>
        <v/>
      </c>
      <c r="L211" s="5">
        <f>K211*(1-Parameters!$B$4)</f>
        <v/>
      </c>
      <c r="M211" s="5">
        <f>L211*(1+Parameters!$B$5)^G211</f>
        <v/>
      </c>
      <c r="N211" s="5">
        <f>IF(E211&gt;=65, (65-B211)*I211/Parameters!$B$6, 0)</f>
        <v/>
      </c>
      <c r="O211">
        <f>IF(E211&gt;65, (1-(1+Parameters!$B$5)^-(E211-65))/Parameters!$B$5, 0)</f>
        <v/>
      </c>
      <c r="P211" s="5">
        <f>N211 * O211 * (1+Parameters!$B$5)^-(65-B211)</f>
        <v/>
      </c>
      <c r="Q211" s="5">
        <f>IF(AND(E211&gt;=66, E211&lt;=69), 5*N211*(1+Parameters!$B$5)^-(E211-B211), 0)</f>
        <v/>
      </c>
      <c r="R211" s="5">
        <f>IF(E211&lt;=65, L211, 0)</f>
        <v/>
      </c>
      <c r="S211" s="5">
        <f>N211 * (Parameters!$B$6 / Parameters!$B$9)</f>
        <v/>
      </c>
      <c r="T211" s="5">
        <f>P211 + Q211</f>
        <v/>
      </c>
      <c r="U211">
        <f>IF(E211&gt;65, (1-((1+Parameters!$B$10)/(1+Parameters!$B$5))^(E211-65))/(((1+Parameters!$B$5)/(1+Parameters!$B$10))-1), 0)</f>
        <v/>
      </c>
      <c r="V211" s="5">
        <f>S211 * U211 * (1+Parameters!$B$5)^-(65-B211)</f>
        <v/>
      </c>
      <c r="W211" s="5">
        <f>IF(AND(E211&gt;=66, E211&lt;=69), 5*S211*(1+Parameters!$B$5)^-(E211-B211), 0)</f>
        <v/>
      </c>
      <c r="X211" s="5">
        <f>V211 + W211 + R211</f>
        <v/>
      </c>
      <c r="Y211" s="5">
        <f>IF(E211&gt;=65, M211/S211, "")</f>
        <v/>
      </c>
    </row>
    <row r="212">
      <c r="A212" t="n">
        <v>211</v>
      </c>
      <c r="B212" t="n">
        <v>53</v>
      </c>
      <c r="C212" s="5" t="n">
        <v>14200</v>
      </c>
      <c r="D212" t="n">
        <v>0.0357</v>
      </c>
      <c r="E212" t="n">
        <v>61</v>
      </c>
      <c r="F212" s="5" t="n">
        <v>142000</v>
      </c>
      <c r="G212">
        <f>MIN(65-B212, MAX(0, E212-B212))</f>
        <v/>
      </c>
      <c r="H212">
        <f>B212+G212</f>
        <v/>
      </c>
      <c r="I212" s="5">
        <f>F212*(1+D212)^G212</f>
        <v/>
      </c>
      <c r="J212">
        <f>(1+D212)/(1+Parameters!$B$5)</f>
        <v/>
      </c>
      <c r="K212" s="5">
        <f>IF(G212&gt;0, IF(ROUND(J212, 6)=1, G212 * C212 * (1+Parameters!$B$5)^-0.5, C212 * (1-J212^G212)/(1-J212) * (1+Parameters!$B$5)^-0.5), 0)</f>
        <v/>
      </c>
      <c r="L212" s="5">
        <f>K212*(1-Parameters!$B$4)</f>
        <v/>
      </c>
      <c r="M212" s="5">
        <f>L212*(1+Parameters!$B$5)^G212</f>
        <v/>
      </c>
      <c r="N212" s="5">
        <f>IF(E212&gt;=65, (65-B212)*I212/Parameters!$B$6, 0)</f>
        <v/>
      </c>
      <c r="O212">
        <f>IF(E212&gt;65, (1-(1+Parameters!$B$5)^-(E212-65))/Parameters!$B$5, 0)</f>
        <v/>
      </c>
      <c r="P212" s="5">
        <f>N212 * O212 * (1+Parameters!$B$5)^-(65-B212)</f>
        <v/>
      </c>
      <c r="Q212" s="5">
        <f>IF(AND(E212&gt;=66, E212&lt;=69), 5*N212*(1+Parameters!$B$5)^-(E212-B212), 0)</f>
        <v/>
      </c>
      <c r="R212" s="5">
        <f>IF(E212&lt;=65, L212, 0)</f>
        <v/>
      </c>
      <c r="S212" s="5">
        <f>N212 * (Parameters!$B$6 / Parameters!$B$9)</f>
        <v/>
      </c>
      <c r="T212" s="5">
        <f>P212 + Q212</f>
        <v/>
      </c>
      <c r="U212">
        <f>IF(E212&gt;65, (1-((1+Parameters!$B$10)/(1+Parameters!$B$5))^(E212-65))/(((1+Parameters!$B$5)/(1+Parameters!$B$10))-1), 0)</f>
        <v/>
      </c>
      <c r="V212" s="5">
        <f>S212 * U212 * (1+Parameters!$B$5)^-(65-B212)</f>
        <v/>
      </c>
      <c r="W212" s="5">
        <f>IF(AND(E212&gt;=66, E212&lt;=69), 5*S212*(1+Parameters!$B$5)^-(E212-B212), 0)</f>
        <v/>
      </c>
      <c r="X212" s="5">
        <f>V212 + W212 + R212</f>
        <v/>
      </c>
      <c r="Y212" s="5">
        <f>IF(E212&gt;=65, M212/S212, "")</f>
        <v/>
      </c>
    </row>
    <row r="213">
      <c r="A213" t="n">
        <v>212</v>
      </c>
      <c r="B213" t="n">
        <v>46</v>
      </c>
      <c r="C213" s="5" t="n">
        <v>10660</v>
      </c>
      <c r="D213" t="n">
        <v>0.0514</v>
      </c>
      <c r="E213" t="n">
        <v>97</v>
      </c>
      <c r="F213" s="5" t="n">
        <v>106600</v>
      </c>
      <c r="G213">
        <f>MIN(65-B213, MAX(0, E213-B213))</f>
        <v/>
      </c>
      <c r="H213">
        <f>B213+G213</f>
        <v/>
      </c>
      <c r="I213" s="5">
        <f>F213*(1+D213)^G213</f>
        <v/>
      </c>
      <c r="J213">
        <f>(1+D213)/(1+Parameters!$B$5)</f>
        <v/>
      </c>
      <c r="K213" s="5">
        <f>IF(G213&gt;0, IF(ROUND(J213, 6)=1, G213 * C213 * (1+Parameters!$B$5)^-0.5, C213 * (1-J213^G213)/(1-J213) * (1+Parameters!$B$5)^-0.5), 0)</f>
        <v/>
      </c>
      <c r="L213" s="5">
        <f>K213*(1-Parameters!$B$4)</f>
        <v/>
      </c>
      <c r="M213" s="5">
        <f>L213*(1+Parameters!$B$5)^G213</f>
        <v/>
      </c>
      <c r="N213" s="5">
        <f>IF(E213&gt;=65, (65-B213)*I213/Parameters!$B$6, 0)</f>
        <v/>
      </c>
      <c r="O213">
        <f>IF(E213&gt;65, (1-(1+Parameters!$B$5)^-(E213-65))/Parameters!$B$5, 0)</f>
        <v/>
      </c>
      <c r="P213" s="5">
        <f>N213 * O213 * (1+Parameters!$B$5)^-(65-B213)</f>
        <v/>
      </c>
      <c r="Q213" s="5">
        <f>IF(AND(E213&gt;=66, E213&lt;=69), 5*N213*(1+Parameters!$B$5)^-(E213-B213), 0)</f>
        <v/>
      </c>
      <c r="R213" s="5">
        <f>IF(E213&lt;=65, L213, 0)</f>
        <v/>
      </c>
      <c r="S213" s="5">
        <f>N213 * (Parameters!$B$6 / Parameters!$B$9)</f>
        <v/>
      </c>
      <c r="T213" s="5">
        <f>P213 + Q213</f>
        <v/>
      </c>
      <c r="U213">
        <f>IF(E213&gt;65, (1-((1+Parameters!$B$10)/(1+Parameters!$B$5))^(E213-65))/(((1+Parameters!$B$5)/(1+Parameters!$B$10))-1), 0)</f>
        <v/>
      </c>
      <c r="V213" s="5">
        <f>S213 * U213 * (1+Parameters!$B$5)^-(65-B213)</f>
        <v/>
      </c>
      <c r="W213" s="5">
        <f>IF(AND(E213&gt;=66, E213&lt;=69), 5*S213*(1+Parameters!$B$5)^-(E213-B213), 0)</f>
        <v/>
      </c>
      <c r="X213" s="5">
        <f>V213 + W213 + R213</f>
        <v/>
      </c>
      <c r="Y213" s="5">
        <f>IF(E213&gt;=65, M213/S213, "")</f>
        <v/>
      </c>
    </row>
    <row r="214">
      <c r="A214" t="n">
        <v>213</v>
      </c>
      <c r="B214" t="n">
        <v>36</v>
      </c>
      <c r="C214" s="5" t="n">
        <v>3380</v>
      </c>
      <c r="D214" t="n">
        <v>0.0389</v>
      </c>
      <c r="E214" t="n">
        <v>88</v>
      </c>
      <c r="F214" s="5" t="n">
        <v>33800</v>
      </c>
      <c r="G214">
        <f>MIN(65-B214, MAX(0, E214-B214))</f>
        <v/>
      </c>
      <c r="H214">
        <f>B214+G214</f>
        <v/>
      </c>
      <c r="I214" s="5">
        <f>F214*(1+D214)^G214</f>
        <v/>
      </c>
      <c r="J214">
        <f>(1+D214)/(1+Parameters!$B$5)</f>
        <v/>
      </c>
      <c r="K214" s="5">
        <f>IF(G214&gt;0, IF(ROUND(J214, 6)=1, G214 * C214 * (1+Parameters!$B$5)^-0.5, C214 * (1-J214^G214)/(1-J214) * (1+Parameters!$B$5)^-0.5), 0)</f>
        <v/>
      </c>
      <c r="L214" s="5">
        <f>K214*(1-Parameters!$B$4)</f>
        <v/>
      </c>
      <c r="M214" s="5">
        <f>L214*(1+Parameters!$B$5)^G214</f>
        <v/>
      </c>
      <c r="N214" s="5">
        <f>IF(E214&gt;=65, (65-B214)*I214/Parameters!$B$6, 0)</f>
        <v/>
      </c>
      <c r="O214">
        <f>IF(E214&gt;65, (1-(1+Parameters!$B$5)^-(E214-65))/Parameters!$B$5, 0)</f>
        <v/>
      </c>
      <c r="P214" s="5">
        <f>N214 * O214 * (1+Parameters!$B$5)^-(65-B214)</f>
        <v/>
      </c>
      <c r="Q214" s="5">
        <f>IF(AND(E214&gt;=66, E214&lt;=69), 5*N214*(1+Parameters!$B$5)^-(E214-B214), 0)</f>
        <v/>
      </c>
      <c r="R214" s="5">
        <f>IF(E214&lt;=65, L214, 0)</f>
        <v/>
      </c>
      <c r="S214" s="5">
        <f>N214 * (Parameters!$B$6 / Parameters!$B$9)</f>
        <v/>
      </c>
      <c r="T214" s="5">
        <f>P214 + Q214</f>
        <v/>
      </c>
      <c r="U214">
        <f>IF(E214&gt;65, (1-((1+Parameters!$B$10)/(1+Parameters!$B$5))^(E214-65))/(((1+Parameters!$B$5)/(1+Parameters!$B$10))-1), 0)</f>
        <v/>
      </c>
      <c r="V214" s="5">
        <f>S214 * U214 * (1+Parameters!$B$5)^-(65-B214)</f>
        <v/>
      </c>
      <c r="W214" s="5">
        <f>IF(AND(E214&gt;=66, E214&lt;=69), 5*S214*(1+Parameters!$B$5)^-(E214-B214), 0)</f>
        <v/>
      </c>
      <c r="X214" s="5">
        <f>V214 + W214 + R214</f>
        <v/>
      </c>
      <c r="Y214" s="5">
        <f>IF(E214&gt;=65, M214/S214, "")</f>
        <v/>
      </c>
    </row>
    <row r="215">
      <c r="A215" t="n">
        <v>214</v>
      </c>
      <c r="B215" t="n">
        <v>29</v>
      </c>
      <c r="C215" s="5" t="n">
        <v>2280</v>
      </c>
      <c r="D215" t="n">
        <v>0.0487</v>
      </c>
      <c r="E215" t="n">
        <v>83</v>
      </c>
      <c r="F215" s="5" t="n">
        <v>22800</v>
      </c>
      <c r="G215">
        <f>MIN(65-B215, MAX(0, E215-B215))</f>
        <v/>
      </c>
      <c r="H215">
        <f>B215+G215</f>
        <v/>
      </c>
      <c r="I215" s="5">
        <f>F215*(1+D215)^G215</f>
        <v/>
      </c>
      <c r="J215">
        <f>(1+D215)/(1+Parameters!$B$5)</f>
        <v/>
      </c>
      <c r="K215" s="5">
        <f>IF(G215&gt;0, IF(ROUND(J215, 6)=1, G215 * C215 * (1+Parameters!$B$5)^-0.5, C215 * (1-J215^G215)/(1-J215) * (1+Parameters!$B$5)^-0.5), 0)</f>
        <v/>
      </c>
      <c r="L215" s="5">
        <f>K215*(1-Parameters!$B$4)</f>
        <v/>
      </c>
      <c r="M215" s="5">
        <f>L215*(1+Parameters!$B$5)^G215</f>
        <v/>
      </c>
      <c r="N215" s="5">
        <f>IF(E215&gt;=65, (65-B215)*I215/Parameters!$B$6, 0)</f>
        <v/>
      </c>
      <c r="O215">
        <f>IF(E215&gt;65, (1-(1+Parameters!$B$5)^-(E215-65))/Parameters!$B$5, 0)</f>
        <v/>
      </c>
      <c r="P215" s="5">
        <f>N215 * O215 * (1+Parameters!$B$5)^-(65-B215)</f>
        <v/>
      </c>
      <c r="Q215" s="5">
        <f>IF(AND(E215&gt;=66, E215&lt;=69), 5*N215*(1+Parameters!$B$5)^-(E215-B215), 0)</f>
        <v/>
      </c>
      <c r="R215" s="5">
        <f>IF(E215&lt;=65, L215, 0)</f>
        <v/>
      </c>
      <c r="S215" s="5">
        <f>N215 * (Parameters!$B$6 / Parameters!$B$9)</f>
        <v/>
      </c>
      <c r="T215" s="5">
        <f>P215 + Q215</f>
        <v/>
      </c>
      <c r="U215">
        <f>IF(E215&gt;65, (1-((1+Parameters!$B$10)/(1+Parameters!$B$5))^(E215-65))/(((1+Parameters!$B$5)/(1+Parameters!$B$10))-1), 0)</f>
        <v/>
      </c>
      <c r="V215" s="5">
        <f>S215 * U215 * (1+Parameters!$B$5)^-(65-B215)</f>
        <v/>
      </c>
      <c r="W215" s="5">
        <f>IF(AND(E215&gt;=66, E215&lt;=69), 5*S215*(1+Parameters!$B$5)^-(E215-B215), 0)</f>
        <v/>
      </c>
      <c r="X215" s="5">
        <f>V215 + W215 + R215</f>
        <v/>
      </c>
      <c r="Y215" s="5">
        <f>IF(E215&gt;=65, M215/S215, "")</f>
        <v/>
      </c>
    </row>
    <row r="216">
      <c r="A216" t="n">
        <v>215</v>
      </c>
      <c r="B216" t="n">
        <v>24</v>
      </c>
      <c r="C216" s="5" t="n">
        <v>2000</v>
      </c>
      <c r="D216" t="n">
        <v>0.0302</v>
      </c>
      <c r="E216" t="n">
        <v>95</v>
      </c>
      <c r="F216" s="5" t="n">
        <v>20000</v>
      </c>
      <c r="G216">
        <f>MIN(65-B216, MAX(0, E216-B216))</f>
        <v/>
      </c>
      <c r="H216">
        <f>B216+G216</f>
        <v/>
      </c>
      <c r="I216" s="5">
        <f>F216*(1+D216)^G216</f>
        <v/>
      </c>
      <c r="J216">
        <f>(1+D216)/(1+Parameters!$B$5)</f>
        <v/>
      </c>
      <c r="K216" s="5">
        <f>IF(G216&gt;0, IF(ROUND(J216, 6)=1, G216 * C216 * (1+Parameters!$B$5)^-0.5, C216 * (1-J216^G216)/(1-J216) * (1+Parameters!$B$5)^-0.5), 0)</f>
        <v/>
      </c>
      <c r="L216" s="5">
        <f>K216*(1-Parameters!$B$4)</f>
        <v/>
      </c>
      <c r="M216" s="5">
        <f>L216*(1+Parameters!$B$5)^G216</f>
        <v/>
      </c>
      <c r="N216" s="5">
        <f>IF(E216&gt;=65, (65-B216)*I216/Parameters!$B$6, 0)</f>
        <v/>
      </c>
      <c r="O216">
        <f>IF(E216&gt;65, (1-(1+Parameters!$B$5)^-(E216-65))/Parameters!$B$5, 0)</f>
        <v/>
      </c>
      <c r="P216" s="5">
        <f>N216 * O216 * (1+Parameters!$B$5)^-(65-B216)</f>
        <v/>
      </c>
      <c r="Q216" s="5">
        <f>IF(AND(E216&gt;=66, E216&lt;=69), 5*N216*(1+Parameters!$B$5)^-(E216-B216), 0)</f>
        <v/>
      </c>
      <c r="R216" s="5">
        <f>IF(E216&lt;=65, L216, 0)</f>
        <v/>
      </c>
      <c r="S216" s="5">
        <f>N216 * (Parameters!$B$6 / Parameters!$B$9)</f>
        <v/>
      </c>
      <c r="T216" s="5">
        <f>P216 + Q216</f>
        <v/>
      </c>
      <c r="U216">
        <f>IF(E216&gt;65, (1-((1+Parameters!$B$10)/(1+Parameters!$B$5))^(E216-65))/(((1+Parameters!$B$5)/(1+Parameters!$B$10))-1), 0)</f>
        <v/>
      </c>
      <c r="V216" s="5">
        <f>S216 * U216 * (1+Parameters!$B$5)^-(65-B216)</f>
        <v/>
      </c>
      <c r="W216" s="5">
        <f>IF(AND(E216&gt;=66, E216&lt;=69), 5*S216*(1+Parameters!$B$5)^-(E216-B216), 0)</f>
        <v/>
      </c>
      <c r="X216" s="5">
        <f>V216 + W216 + R216</f>
        <v/>
      </c>
      <c r="Y216" s="5">
        <f>IF(E216&gt;=65, M216/S216, "")</f>
        <v/>
      </c>
    </row>
    <row r="217">
      <c r="A217" t="n">
        <v>216</v>
      </c>
      <c r="B217" t="n">
        <v>41</v>
      </c>
      <c r="C217" s="5" t="n">
        <v>6570</v>
      </c>
      <c r="D217" t="n">
        <v>0.0103</v>
      </c>
      <c r="E217" t="n">
        <v>86</v>
      </c>
      <c r="F217" s="5" t="n">
        <v>65700</v>
      </c>
      <c r="G217">
        <f>MIN(65-B217, MAX(0, E217-B217))</f>
        <v/>
      </c>
      <c r="H217">
        <f>B217+G217</f>
        <v/>
      </c>
      <c r="I217" s="5">
        <f>F217*(1+D217)^G217</f>
        <v/>
      </c>
      <c r="J217">
        <f>(1+D217)/(1+Parameters!$B$5)</f>
        <v/>
      </c>
      <c r="K217" s="5">
        <f>IF(G217&gt;0, IF(ROUND(J217, 6)=1, G217 * C217 * (1+Parameters!$B$5)^-0.5, C217 * (1-J217^G217)/(1-J217) * (1+Parameters!$B$5)^-0.5), 0)</f>
        <v/>
      </c>
      <c r="L217" s="5">
        <f>K217*(1-Parameters!$B$4)</f>
        <v/>
      </c>
      <c r="M217" s="5">
        <f>L217*(1+Parameters!$B$5)^G217</f>
        <v/>
      </c>
      <c r="N217" s="5">
        <f>IF(E217&gt;=65, (65-B217)*I217/Parameters!$B$6, 0)</f>
        <v/>
      </c>
      <c r="O217">
        <f>IF(E217&gt;65, (1-(1+Parameters!$B$5)^-(E217-65))/Parameters!$B$5, 0)</f>
        <v/>
      </c>
      <c r="P217" s="5">
        <f>N217 * O217 * (1+Parameters!$B$5)^-(65-B217)</f>
        <v/>
      </c>
      <c r="Q217" s="5">
        <f>IF(AND(E217&gt;=66, E217&lt;=69), 5*N217*(1+Parameters!$B$5)^-(E217-B217), 0)</f>
        <v/>
      </c>
      <c r="R217" s="5">
        <f>IF(E217&lt;=65, L217, 0)</f>
        <v/>
      </c>
      <c r="S217" s="5">
        <f>N217 * (Parameters!$B$6 / Parameters!$B$9)</f>
        <v/>
      </c>
      <c r="T217" s="5">
        <f>P217 + Q217</f>
        <v/>
      </c>
      <c r="U217">
        <f>IF(E217&gt;65, (1-((1+Parameters!$B$10)/(1+Parameters!$B$5))^(E217-65))/(((1+Parameters!$B$5)/(1+Parameters!$B$10))-1), 0)</f>
        <v/>
      </c>
      <c r="V217" s="5">
        <f>S217 * U217 * (1+Parameters!$B$5)^-(65-B217)</f>
        <v/>
      </c>
      <c r="W217" s="5">
        <f>IF(AND(E217&gt;=66, E217&lt;=69), 5*S217*(1+Parameters!$B$5)^-(E217-B217), 0)</f>
        <v/>
      </c>
      <c r="X217" s="5">
        <f>V217 + W217 + R217</f>
        <v/>
      </c>
      <c r="Y217" s="5">
        <f>IF(E217&gt;=65, M217/S217, "")</f>
        <v/>
      </c>
    </row>
    <row r="218">
      <c r="A218" t="n">
        <v>217</v>
      </c>
      <c r="B218" t="n">
        <v>46</v>
      </c>
      <c r="C218" s="5" t="n">
        <v>7400</v>
      </c>
      <c r="D218" t="n">
        <v>0.0253</v>
      </c>
      <c r="E218" t="n">
        <v>69</v>
      </c>
      <c r="F218" s="5" t="n">
        <v>74000</v>
      </c>
      <c r="G218">
        <f>MIN(65-B218, MAX(0, E218-B218))</f>
        <v/>
      </c>
      <c r="H218">
        <f>B218+G218</f>
        <v/>
      </c>
      <c r="I218" s="5">
        <f>F218*(1+D218)^G218</f>
        <v/>
      </c>
      <c r="J218">
        <f>(1+D218)/(1+Parameters!$B$5)</f>
        <v/>
      </c>
      <c r="K218" s="5">
        <f>IF(G218&gt;0, IF(ROUND(J218, 6)=1, G218 * C218 * (1+Parameters!$B$5)^-0.5, C218 * (1-J218^G218)/(1-J218) * (1+Parameters!$B$5)^-0.5), 0)</f>
        <v/>
      </c>
      <c r="L218" s="5">
        <f>K218*(1-Parameters!$B$4)</f>
        <v/>
      </c>
      <c r="M218" s="5">
        <f>L218*(1+Parameters!$B$5)^G218</f>
        <v/>
      </c>
      <c r="N218" s="5">
        <f>IF(E218&gt;=65, (65-B218)*I218/Parameters!$B$6, 0)</f>
        <v/>
      </c>
      <c r="O218">
        <f>IF(E218&gt;65, (1-(1+Parameters!$B$5)^-(E218-65))/Parameters!$B$5, 0)</f>
        <v/>
      </c>
      <c r="P218" s="5">
        <f>N218 * O218 * (1+Parameters!$B$5)^-(65-B218)</f>
        <v/>
      </c>
      <c r="Q218" s="5">
        <f>IF(AND(E218&gt;=66, E218&lt;=69), 5*N218*(1+Parameters!$B$5)^-(E218-B218), 0)</f>
        <v/>
      </c>
      <c r="R218" s="5">
        <f>IF(E218&lt;=65, L218, 0)</f>
        <v/>
      </c>
      <c r="S218" s="5">
        <f>N218 * (Parameters!$B$6 / Parameters!$B$9)</f>
        <v/>
      </c>
      <c r="T218" s="5">
        <f>P218 + Q218</f>
        <v/>
      </c>
      <c r="U218">
        <f>IF(E218&gt;65, (1-((1+Parameters!$B$10)/(1+Parameters!$B$5))^(E218-65))/(((1+Parameters!$B$5)/(1+Parameters!$B$10))-1), 0)</f>
        <v/>
      </c>
      <c r="V218" s="5">
        <f>S218 * U218 * (1+Parameters!$B$5)^-(65-B218)</f>
        <v/>
      </c>
      <c r="W218" s="5">
        <f>IF(AND(E218&gt;=66, E218&lt;=69), 5*S218*(1+Parameters!$B$5)^-(E218-B218), 0)</f>
        <v/>
      </c>
      <c r="X218" s="5">
        <f>V218 + W218 + R218</f>
        <v/>
      </c>
      <c r="Y218" s="5">
        <f>IF(E218&gt;=65, M218/S218, "")</f>
        <v/>
      </c>
    </row>
    <row r="219">
      <c r="A219" t="n">
        <v>218</v>
      </c>
      <c r="B219" t="n">
        <v>20</v>
      </c>
      <c r="C219" s="5" t="n">
        <v>2790</v>
      </c>
      <c r="D219" t="n">
        <v>0.0569</v>
      </c>
      <c r="E219" t="n">
        <v>82</v>
      </c>
      <c r="F219" s="5" t="n">
        <v>27900</v>
      </c>
      <c r="G219">
        <f>MIN(65-B219, MAX(0, E219-B219))</f>
        <v/>
      </c>
      <c r="H219">
        <f>B219+G219</f>
        <v/>
      </c>
      <c r="I219" s="5">
        <f>F219*(1+D219)^G219</f>
        <v/>
      </c>
      <c r="J219">
        <f>(1+D219)/(1+Parameters!$B$5)</f>
        <v/>
      </c>
      <c r="K219" s="5">
        <f>IF(G219&gt;0, IF(ROUND(J219, 6)=1, G219 * C219 * (1+Parameters!$B$5)^-0.5, C219 * (1-J219^G219)/(1-J219) * (1+Parameters!$B$5)^-0.5), 0)</f>
        <v/>
      </c>
      <c r="L219" s="5">
        <f>K219*(1-Parameters!$B$4)</f>
        <v/>
      </c>
      <c r="M219" s="5">
        <f>L219*(1+Parameters!$B$5)^G219</f>
        <v/>
      </c>
      <c r="N219" s="5">
        <f>IF(E219&gt;=65, (65-B219)*I219/Parameters!$B$6, 0)</f>
        <v/>
      </c>
      <c r="O219">
        <f>IF(E219&gt;65, (1-(1+Parameters!$B$5)^-(E219-65))/Parameters!$B$5, 0)</f>
        <v/>
      </c>
      <c r="P219" s="5">
        <f>N219 * O219 * (1+Parameters!$B$5)^-(65-B219)</f>
        <v/>
      </c>
      <c r="Q219" s="5">
        <f>IF(AND(E219&gt;=66, E219&lt;=69), 5*N219*(1+Parameters!$B$5)^-(E219-B219), 0)</f>
        <v/>
      </c>
      <c r="R219" s="5">
        <f>IF(E219&lt;=65, L219, 0)</f>
        <v/>
      </c>
      <c r="S219" s="5">
        <f>N219 * (Parameters!$B$6 / Parameters!$B$9)</f>
        <v/>
      </c>
      <c r="T219" s="5">
        <f>P219 + Q219</f>
        <v/>
      </c>
      <c r="U219">
        <f>IF(E219&gt;65, (1-((1+Parameters!$B$10)/(1+Parameters!$B$5))^(E219-65))/(((1+Parameters!$B$5)/(1+Parameters!$B$10))-1), 0)</f>
        <v/>
      </c>
      <c r="V219" s="5">
        <f>S219 * U219 * (1+Parameters!$B$5)^-(65-B219)</f>
        <v/>
      </c>
      <c r="W219" s="5">
        <f>IF(AND(E219&gt;=66, E219&lt;=69), 5*S219*(1+Parameters!$B$5)^-(E219-B219), 0)</f>
        <v/>
      </c>
      <c r="X219" s="5">
        <f>V219 + W219 + R219</f>
        <v/>
      </c>
      <c r="Y219" s="5">
        <f>IF(E219&gt;=65, M219/S219, "")</f>
        <v/>
      </c>
    </row>
    <row r="220">
      <c r="A220" t="n">
        <v>219</v>
      </c>
      <c r="B220" t="n">
        <v>50</v>
      </c>
      <c r="C220" s="5" t="n">
        <v>5150</v>
      </c>
      <c r="D220" t="n">
        <v>0.0533</v>
      </c>
      <c r="E220" t="n">
        <v>80</v>
      </c>
      <c r="F220" s="5" t="n">
        <v>51500</v>
      </c>
      <c r="G220">
        <f>MIN(65-B220, MAX(0, E220-B220))</f>
        <v/>
      </c>
      <c r="H220">
        <f>B220+G220</f>
        <v/>
      </c>
      <c r="I220" s="5">
        <f>F220*(1+D220)^G220</f>
        <v/>
      </c>
      <c r="J220">
        <f>(1+D220)/(1+Parameters!$B$5)</f>
        <v/>
      </c>
      <c r="K220" s="5">
        <f>IF(G220&gt;0, IF(ROUND(J220, 6)=1, G220 * C220 * (1+Parameters!$B$5)^-0.5, C220 * (1-J220^G220)/(1-J220) * (1+Parameters!$B$5)^-0.5), 0)</f>
        <v/>
      </c>
      <c r="L220" s="5">
        <f>K220*(1-Parameters!$B$4)</f>
        <v/>
      </c>
      <c r="M220" s="5">
        <f>L220*(1+Parameters!$B$5)^G220</f>
        <v/>
      </c>
      <c r="N220" s="5">
        <f>IF(E220&gt;=65, (65-B220)*I220/Parameters!$B$6, 0)</f>
        <v/>
      </c>
      <c r="O220">
        <f>IF(E220&gt;65, (1-(1+Parameters!$B$5)^-(E220-65))/Parameters!$B$5, 0)</f>
        <v/>
      </c>
      <c r="P220" s="5">
        <f>N220 * O220 * (1+Parameters!$B$5)^-(65-B220)</f>
        <v/>
      </c>
      <c r="Q220" s="5">
        <f>IF(AND(E220&gt;=66, E220&lt;=69), 5*N220*(1+Parameters!$B$5)^-(E220-B220), 0)</f>
        <v/>
      </c>
      <c r="R220" s="5">
        <f>IF(E220&lt;=65, L220, 0)</f>
        <v/>
      </c>
      <c r="S220" s="5">
        <f>N220 * (Parameters!$B$6 / Parameters!$B$9)</f>
        <v/>
      </c>
      <c r="T220" s="5">
        <f>P220 + Q220</f>
        <v/>
      </c>
      <c r="U220">
        <f>IF(E220&gt;65, (1-((1+Parameters!$B$10)/(1+Parameters!$B$5))^(E220-65))/(((1+Parameters!$B$5)/(1+Parameters!$B$10))-1), 0)</f>
        <v/>
      </c>
      <c r="V220" s="5">
        <f>S220 * U220 * (1+Parameters!$B$5)^-(65-B220)</f>
        <v/>
      </c>
      <c r="W220" s="5">
        <f>IF(AND(E220&gt;=66, E220&lt;=69), 5*S220*(1+Parameters!$B$5)^-(E220-B220), 0)</f>
        <v/>
      </c>
      <c r="X220" s="5">
        <f>V220 + W220 + R220</f>
        <v/>
      </c>
      <c r="Y220" s="5">
        <f>IF(E220&gt;=65, M220/S220, "")</f>
        <v/>
      </c>
    </row>
    <row r="221">
      <c r="A221" t="n">
        <v>220</v>
      </c>
      <c r="B221" t="n">
        <v>44</v>
      </c>
      <c r="C221" s="5" t="n">
        <v>8900</v>
      </c>
      <c r="D221" t="n">
        <v>0.0416</v>
      </c>
      <c r="E221" t="n">
        <v>100</v>
      </c>
      <c r="F221" s="5" t="n">
        <v>89000</v>
      </c>
      <c r="G221">
        <f>MIN(65-B221, MAX(0, E221-B221))</f>
        <v/>
      </c>
      <c r="H221">
        <f>B221+G221</f>
        <v/>
      </c>
      <c r="I221" s="5">
        <f>F221*(1+D221)^G221</f>
        <v/>
      </c>
      <c r="J221">
        <f>(1+D221)/(1+Parameters!$B$5)</f>
        <v/>
      </c>
      <c r="K221" s="5">
        <f>IF(G221&gt;0, IF(ROUND(J221, 6)=1, G221 * C221 * (1+Parameters!$B$5)^-0.5, C221 * (1-J221^G221)/(1-J221) * (1+Parameters!$B$5)^-0.5), 0)</f>
        <v/>
      </c>
      <c r="L221" s="5">
        <f>K221*(1-Parameters!$B$4)</f>
        <v/>
      </c>
      <c r="M221" s="5">
        <f>L221*(1+Parameters!$B$5)^G221</f>
        <v/>
      </c>
      <c r="N221" s="5">
        <f>IF(E221&gt;=65, (65-B221)*I221/Parameters!$B$6, 0)</f>
        <v/>
      </c>
      <c r="O221">
        <f>IF(E221&gt;65, (1-(1+Parameters!$B$5)^-(E221-65))/Parameters!$B$5, 0)</f>
        <v/>
      </c>
      <c r="P221" s="5">
        <f>N221 * O221 * (1+Parameters!$B$5)^-(65-B221)</f>
        <v/>
      </c>
      <c r="Q221" s="5">
        <f>IF(AND(E221&gt;=66, E221&lt;=69), 5*N221*(1+Parameters!$B$5)^-(E221-B221), 0)</f>
        <v/>
      </c>
      <c r="R221" s="5">
        <f>IF(E221&lt;=65, L221, 0)</f>
        <v/>
      </c>
      <c r="S221" s="5">
        <f>N221 * (Parameters!$B$6 / Parameters!$B$9)</f>
        <v/>
      </c>
      <c r="T221" s="5">
        <f>P221 + Q221</f>
        <v/>
      </c>
      <c r="U221">
        <f>IF(E221&gt;65, (1-((1+Parameters!$B$10)/(1+Parameters!$B$5))^(E221-65))/(((1+Parameters!$B$5)/(1+Parameters!$B$10))-1), 0)</f>
        <v/>
      </c>
      <c r="V221" s="5">
        <f>S221 * U221 * (1+Parameters!$B$5)^-(65-B221)</f>
        <v/>
      </c>
      <c r="W221" s="5">
        <f>IF(AND(E221&gt;=66, E221&lt;=69), 5*S221*(1+Parameters!$B$5)^-(E221-B221), 0)</f>
        <v/>
      </c>
      <c r="X221" s="5">
        <f>V221 + W221 + R221</f>
        <v/>
      </c>
      <c r="Y221" s="5">
        <f>IF(E221&gt;=65, M221/S221, "")</f>
        <v/>
      </c>
    </row>
    <row r="222">
      <c r="A222" t="n">
        <v>221</v>
      </c>
      <c r="B222" t="n">
        <v>37</v>
      </c>
      <c r="C222" s="5" t="n">
        <v>7780</v>
      </c>
      <c r="D222" t="n">
        <v>0.0285</v>
      </c>
      <c r="E222" t="n">
        <v>84</v>
      </c>
      <c r="F222" s="5" t="n">
        <v>77800</v>
      </c>
      <c r="G222">
        <f>MIN(65-B222, MAX(0, E222-B222))</f>
        <v/>
      </c>
      <c r="H222">
        <f>B222+G222</f>
        <v/>
      </c>
      <c r="I222" s="5">
        <f>F222*(1+D222)^G222</f>
        <v/>
      </c>
      <c r="J222">
        <f>(1+D222)/(1+Parameters!$B$5)</f>
        <v/>
      </c>
      <c r="K222" s="5">
        <f>IF(G222&gt;0, IF(ROUND(J222, 6)=1, G222 * C222 * (1+Parameters!$B$5)^-0.5, C222 * (1-J222^G222)/(1-J222) * (1+Parameters!$B$5)^-0.5), 0)</f>
        <v/>
      </c>
      <c r="L222" s="5">
        <f>K222*(1-Parameters!$B$4)</f>
        <v/>
      </c>
      <c r="M222" s="5">
        <f>L222*(1+Parameters!$B$5)^G222</f>
        <v/>
      </c>
      <c r="N222" s="5">
        <f>IF(E222&gt;=65, (65-B222)*I222/Parameters!$B$6, 0)</f>
        <v/>
      </c>
      <c r="O222">
        <f>IF(E222&gt;65, (1-(1+Parameters!$B$5)^-(E222-65))/Parameters!$B$5, 0)</f>
        <v/>
      </c>
      <c r="P222" s="5">
        <f>N222 * O222 * (1+Parameters!$B$5)^-(65-B222)</f>
        <v/>
      </c>
      <c r="Q222" s="5">
        <f>IF(AND(E222&gt;=66, E222&lt;=69), 5*N222*(1+Parameters!$B$5)^-(E222-B222), 0)</f>
        <v/>
      </c>
      <c r="R222" s="5">
        <f>IF(E222&lt;=65, L222, 0)</f>
        <v/>
      </c>
      <c r="S222" s="5">
        <f>N222 * (Parameters!$B$6 / Parameters!$B$9)</f>
        <v/>
      </c>
      <c r="T222" s="5">
        <f>P222 + Q222</f>
        <v/>
      </c>
      <c r="U222">
        <f>IF(E222&gt;65, (1-((1+Parameters!$B$10)/(1+Parameters!$B$5))^(E222-65))/(((1+Parameters!$B$5)/(1+Parameters!$B$10))-1), 0)</f>
        <v/>
      </c>
      <c r="V222" s="5">
        <f>S222 * U222 * (1+Parameters!$B$5)^-(65-B222)</f>
        <v/>
      </c>
      <c r="W222" s="5">
        <f>IF(AND(E222&gt;=66, E222&lt;=69), 5*S222*(1+Parameters!$B$5)^-(E222-B222), 0)</f>
        <v/>
      </c>
      <c r="X222" s="5">
        <f>V222 + W222 + R222</f>
        <v/>
      </c>
      <c r="Y222" s="5">
        <f>IF(E222&gt;=65, M222/S222, "")</f>
        <v/>
      </c>
    </row>
    <row r="223">
      <c r="A223" t="n">
        <v>222</v>
      </c>
      <c r="B223" t="n">
        <v>29</v>
      </c>
      <c r="C223" s="5" t="n">
        <v>1290</v>
      </c>
      <c r="D223" t="n">
        <v>0.0102</v>
      </c>
      <c r="E223" t="n">
        <v>76</v>
      </c>
      <c r="F223" s="5" t="n">
        <v>12900</v>
      </c>
      <c r="G223">
        <f>MIN(65-B223, MAX(0, E223-B223))</f>
        <v/>
      </c>
      <c r="H223">
        <f>B223+G223</f>
        <v/>
      </c>
      <c r="I223" s="5">
        <f>F223*(1+D223)^G223</f>
        <v/>
      </c>
      <c r="J223">
        <f>(1+D223)/(1+Parameters!$B$5)</f>
        <v/>
      </c>
      <c r="K223" s="5">
        <f>IF(G223&gt;0, IF(ROUND(J223, 6)=1, G223 * C223 * (1+Parameters!$B$5)^-0.5, C223 * (1-J223^G223)/(1-J223) * (1+Parameters!$B$5)^-0.5), 0)</f>
        <v/>
      </c>
      <c r="L223" s="5">
        <f>K223*(1-Parameters!$B$4)</f>
        <v/>
      </c>
      <c r="M223" s="5">
        <f>L223*(1+Parameters!$B$5)^G223</f>
        <v/>
      </c>
      <c r="N223" s="5">
        <f>IF(E223&gt;=65, (65-B223)*I223/Parameters!$B$6, 0)</f>
        <v/>
      </c>
      <c r="O223">
        <f>IF(E223&gt;65, (1-(1+Parameters!$B$5)^-(E223-65))/Parameters!$B$5, 0)</f>
        <v/>
      </c>
      <c r="P223" s="5">
        <f>N223 * O223 * (1+Parameters!$B$5)^-(65-B223)</f>
        <v/>
      </c>
      <c r="Q223" s="5">
        <f>IF(AND(E223&gt;=66, E223&lt;=69), 5*N223*(1+Parameters!$B$5)^-(E223-B223), 0)</f>
        <v/>
      </c>
      <c r="R223" s="5">
        <f>IF(E223&lt;=65, L223, 0)</f>
        <v/>
      </c>
      <c r="S223" s="5">
        <f>N223 * (Parameters!$B$6 / Parameters!$B$9)</f>
        <v/>
      </c>
      <c r="T223" s="5">
        <f>P223 + Q223</f>
        <v/>
      </c>
      <c r="U223">
        <f>IF(E223&gt;65, (1-((1+Parameters!$B$10)/(1+Parameters!$B$5))^(E223-65))/(((1+Parameters!$B$5)/(1+Parameters!$B$10))-1), 0)</f>
        <v/>
      </c>
      <c r="V223" s="5">
        <f>S223 * U223 * (1+Parameters!$B$5)^-(65-B223)</f>
        <v/>
      </c>
      <c r="W223" s="5">
        <f>IF(AND(E223&gt;=66, E223&lt;=69), 5*S223*(1+Parameters!$B$5)^-(E223-B223), 0)</f>
        <v/>
      </c>
      <c r="X223" s="5">
        <f>V223 + W223 + R223</f>
        <v/>
      </c>
      <c r="Y223" s="5">
        <f>IF(E223&gt;=65, M223/S223, "")</f>
        <v/>
      </c>
    </row>
    <row r="224">
      <c r="A224" t="n">
        <v>223</v>
      </c>
      <c r="B224" t="n">
        <v>30</v>
      </c>
      <c r="C224" s="5" t="n">
        <v>2800</v>
      </c>
      <c r="D224" t="n">
        <v>0.0582</v>
      </c>
      <c r="E224" t="n">
        <v>75</v>
      </c>
      <c r="F224" s="5" t="n">
        <v>28000</v>
      </c>
      <c r="G224">
        <f>MIN(65-B224, MAX(0, E224-B224))</f>
        <v/>
      </c>
      <c r="H224">
        <f>B224+G224</f>
        <v/>
      </c>
      <c r="I224" s="5">
        <f>F224*(1+D224)^G224</f>
        <v/>
      </c>
      <c r="J224">
        <f>(1+D224)/(1+Parameters!$B$5)</f>
        <v/>
      </c>
      <c r="K224" s="5">
        <f>IF(G224&gt;0, IF(ROUND(J224, 6)=1, G224 * C224 * (1+Parameters!$B$5)^-0.5, C224 * (1-J224^G224)/(1-J224) * (1+Parameters!$B$5)^-0.5), 0)</f>
        <v/>
      </c>
      <c r="L224" s="5">
        <f>K224*(1-Parameters!$B$4)</f>
        <v/>
      </c>
      <c r="M224" s="5">
        <f>L224*(1+Parameters!$B$5)^G224</f>
        <v/>
      </c>
      <c r="N224" s="5">
        <f>IF(E224&gt;=65, (65-B224)*I224/Parameters!$B$6, 0)</f>
        <v/>
      </c>
      <c r="O224">
        <f>IF(E224&gt;65, (1-(1+Parameters!$B$5)^-(E224-65))/Parameters!$B$5, 0)</f>
        <v/>
      </c>
      <c r="P224" s="5">
        <f>N224 * O224 * (1+Parameters!$B$5)^-(65-B224)</f>
        <v/>
      </c>
      <c r="Q224" s="5">
        <f>IF(AND(E224&gt;=66, E224&lt;=69), 5*N224*(1+Parameters!$B$5)^-(E224-B224), 0)</f>
        <v/>
      </c>
      <c r="R224" s="5">
        <f>IF(E224&lt;=65, L224, 0)</f>
        <v/>
      </c>
      <c r="S224" s="5">
        <f>N224 * (Parameters!$B$6 / Parameters!$B$9)</f>
        <v/>
      </c>
      <c r="T224" s="5">
        <f>P224 + Q224</f>
        <v/>
      </c>
      <c r="U224">
        <f>IF(E224&gt;65, (1-((1+Parameters!$B$10)/(1+Parameters!$B$5))^(E224-65))/(((1+Parameters!$B$5)/(1+Parameters!$B$10))-1), 0)</f>
        <v/>
      </c>
      <c r="V224" s="5">
        <f>S224 * U224 * (1+Parameters!$B$5)^-(65-B224)</f>
        <v/>
      </c>
      <c r="W224" s="5">
        <f>IF(AND(E224&gt;=66, E224&lt;=69), 5*S224*(1+Parameters!$B$5)^-(E224-B224), 0)</f>
        <v/>
      </c>
      <c r="X224" s="5">
        <f>V224 + W224 + R224</f>
        <v/>
      </c>
      <c r="Y224" s="5">
        <f>IF(E224&gt;=65, M224/S224, "")</f>
        <v/>
      </c>
    </row>
    <row r="225">
      <c r="A225" t="n">
        <v>224</v>
      </c>
      <c r="B225" t="n">
        <v>32</v>
      </c>
      <c r="C225" s="5" t="n">
        <v>2330</v>
      </c>
      <c r="D225" t="n">
        <v>0.0268</v>
      </c>
      <c r="E225" t="n">
        <v>105</v>
      </c>
      <c r="F225" s="5" t="n">
        <v>23300</v>
      </c>
      <c r="G225">
        <f>MIN(65-B225, MAX(0, E225-B225))</f>
        <v/>
      </c>
      <c r="H225">
        <f>B225+G225</f>
        <v/>
      </c>
      <c r="I225" s="5">
        <f>F225*(1+D225)^G225</f>
        <v/>
      </c>
      <c r="J225">
        <f>(1+D225)/(1+Parameters!$B$5)</f>
        <v/>
      </c>
      <c r="K225" s="5">
        <f>IF(G225&gt;0, IF(ROUND(J225, 6)=1, G225 * C225 * (1+Parameters!$B$5)^-0.5, C225 * (1-J225^G225)/(1-J225) * (1+Parameters!$B$5)^-0.5), 0)</f>
        <v/>
      </c>
      <c r="L225" s="5">
        <f>K225*(1-Parameters!$B$4)</f>
        <v/>
      </c>
      <c r="M225" s="5">
        <f>L225*(1+Parameters!$B$5)^G225</f>
        <v/>
      </c>
      <c r="N225" s="5">
        <f>IF(E225&gt;=65, (65-B225)*I225/Parameters!$B$6, 0)</f>
        <v/>
      </c>
      <c r="O225">
        <f>IF(E225&gt;65, (1-(1+Parameters!$B$5)^-(E225-65))/Parameters!$B$5, 0)</f>
        <v/>
      </c>
      <c r="P225" s="5">
        <f>N225 * O225 * (1+Parameters!$B$5)^-(65-B225)</f>
        <v/>
      </c>
      <c r="Q225" s="5">
        <f>IF(AND(E225&gt;=66, E225&lt;=69), 5*N225*(1+Parameters!$B$5)^-(E225-B225), 0)</f>
        <v/>
      </c>
      <c r="R225" s="5">
        <f>IF(E225&lt;=65, L225, 0)</f>
        <v/>
      </c>
      <c r="S225" s="5">
        <f>N225 * (Parameters!$B$6 / Parameters!$B$9)</f>
        <v/>
      </c>
      <c r="T225" s="5">
        <f>P225 + Q225</f>
        <v/>
      </c>
      <c r="U225">
        <f>IF(E225&gt;65, (1-((1+Parameters!$B$10)/(1+Parameters!$B$5))^(E225-65))/(((1+Parameters!$B$5)/(1+Parameters!$B$10))-1), 0)</f>
        <v/>
      </c>
      <c r="V225" s="5">
        <f>S225 * U225 * (1+Parameters!$B$5)^-(65-B225)</f>
        <v/>
      </c>
      <c r="W225" s="5">
        <f>IF(AND(E225&gt;=66, E225&lt;=69), 5*S225*(1+Parameters!$B$5)^-(E225-B225), 0)</f>
        <v/>
      </c>
      <c r="X225" s="5">
        <f>V225 + W225 + R225</f>
        <v/>
      </c>
      <c r="Y225" s="5">
        <f>IF(E225&gt;=65, M225/S225, "")</f>
        <v/>
      </c>
    </row>
    <row r="226">
      <c r="A226" t="n">
        <v>225</v>
      </c>
      <c r="B226" t="n">
        <v>29</v>
      </c>
      <c r="C226" s="5" t="n">
        <v>3040</v>
      </c>
      <c r="D226" t="n">
        <v>0.0113</v>
      </c>
      <c r="E226" t="n">
        <v>91</v>
      </c>
      <c r="F226" s="5" t="n">
        <v>30400</v>
      </c>
      <c r="G226">
        <f>MIN(65-B226, MAX(0, E226-B226))</f>
        <v/>
      </c>
      <c r="H226">
        <f>B226+G226</f>
        <v/>
      </c>
      <c r="I226" s="5">
        <f>F226*(1+D226)^G226</f>
        <v/>
      </c>
      <c r="J226">
        <f>(1+D226)/(1+Parameters!$B$5)</f>
        <v/>
      </c>
      <c r="K226" s="5">
        <f>IF(G226&gt;0, IF(ROUND(J226, 6)=1, G226 * C226 * (1+Parameters!$B$5)^-0.5, C226 * (1-J226^G226)/(1-J226) * (1+Parameters!$B$5)^-0.5), 0)</f>
        <v/>
      </c>
      <c r="L226" s="5">
        <f>K226*(1-Parameters!$B$4)</f>
        <v/>
      </c>
      <c r="M226" s="5">
        <f>L226*(1+Parameters!$B$5)^G226</f>
        <v/>
      </c>
      <c r="N226" s="5">
        <f>IF(E226&gt;=65, (65-B226)*I226/Parameters!$B$6, 0)</f>
        <v/>
      </c>
      <c r="O226">
        <f>IF(E226&gt;65, (1-(1+Parameters!$B$5)^-(E226-65))/Parameters!$B$5, 0)</f>
        <v/>
      </c>
      <c r="P226" s="5">
        <f>N226 * O226 * (1+Parameters!$B$5)^-(65-B226)</f>
        <v/>
      </c>
      <c r="Q226" s="5">
        <f>IF(AND(E226&gt;=66, E226&lt;=69), 5*N226*(1+Parameters!$B$5)^-(E226-B226), 0)</f>
        <v/>
      </c>
      <c r="R226" s="5">
        <f>IF(E226&lt;=65, L226, 0)</f>
        <v/>
      </c>
      <c r="S226" s="5">
        <f>N226 * (Parameters!$B$6 / Parameters!$B$9)</f>
        <v/>
      </c>
      <c r="T226" s="5">
        <f>P226 + Q226</f>
        <v/>
      </c>
      <c r="U226">
        <f>IF(E226&gt;65, (1-((1+Parameters!$B$10)/(1+Parameters!$B$5))^(E226-65))/(((1+Parameters!$B$5)/(1+Parameters!$B$10))-1), 0)</f>
        <v/>
      </c>
      <c r="V226" s="5">
        <f>S226 * U226 * (1+Parameters!$B$5)^-(65-B226)</f>
        <v/>
      </c>
      <c r="W226" s="5">
        <f>IF(AND(E226&gt;=66, E226&lt;=69), 5*S226*(1+Parameters!$B$5)^-(E226-B226), 0)</f>
        <v/>
      </c>
      <c r="X226" s="5">
        <f>V226 + W226 + R226</f>
        <v/>
      </c>
      <c r="Y226" s="5">
        <f>IF(E226&gt;=65, M226/S226, "")</f>
        <v/>
      </c>
    </row>
    <row r="227">
      <c r="A227" t="n">
        <v>226</v>
      </c>
      <c r="B227" t="n">
        <v>41</v>
      </c>
      <c r="C227" s="5" t="n">
        <v>8490</v>
      </c>
      <c r="D227" t="n">
        <v>0.0271</v>
      </c>
      <c r="E227" t="n">
        <v>98</v>
      </c>
      <c r="F227" s="5" t="n">
        <v>84900</v>
      </c>
      <c r="G227">
        <f>MIN(65-B227, MAX(0, E227-B227))</f>
        <v/>
      </c>
      <c r="H227">
        <f>B227+G227</f>
        <v/>
      </c>
      <c r="I227" s="5">
        <f>F227*(1+D227)^G227</f>
        <v/>
      </c>
      <c r="J227">
        <f>(1+D227)/(1+Parameters!$B$5)</f>
        <v/>
      </c>
      <c r="K227" s="5">
        <f>IF(G227&gt;0, IF(ROUND(J227, 6)=1, G227 * C227 * (1+Parameters!$B$5)^-0.5, C227 * (1-J227^G227)/(1-J227) * (1+Parameters!$B$5)^-0.5), 0)</f>
        <v/>
      </c>
      <c r="L227" s="5">
        <f>K227*(1-Parameters!$B$4)</f>
        <v/>
      </c>
      <c r="M227" s="5">
        <f>L227*(1+Parameters!$B$5)^G227</f>
        <v/>
      </c>
      <c r="N227" s="5">
        <f>IF(E227&gt;=65, (65-B227)*I227/Parameters!$B$6, 0)</f>
        <v/>
      </c>
      <c r="O227">
        <f>IF(E227&gt;65, (1-(1+Parameters!$B$5)^-(E227-65))/Parameters!$B$5, 0)</f>
        <v/>
      </c>
      <c r="P227" s="5">
        <f>N227 * O227 * (1+Parameters!$B$5)^-(65-B227)</f>
        <v/>
      </c>
      <c r="Q227" s="5">
        <f>IF(AND(E227&gt;=66, E227&lt;=69), 5*N227*(1+Parameters!$B$5)^-(E227-B227), 0)</f>
        <v/>
      </c>
      <c r="R227" s="5">
        <f>IF(E227&lt;=65, L227, 0)</f>
        <v/>
      </c>
      <c r="S227" s="5">
        <f>N227 * (Parameters!$B$6 / Parameters!$B$9)</f>
        <v/>
      </c>
      <c r="T227" s="5">
        <f>P227 + Q227</f>
        <v/>
      </c>
      <c r="U227">
        <f>IF(E227&gt;65, (1-((1+Parameters!$B$10)/(1+Parameters!$B$5))^(E227-65))/(((1+Parameters!$B$5)/(1+Parameters!$B$10))-1), 0)</f>
        <v/>
      </c>
      <c r="V227" s="5">
        <f>S227 * U227 * (1+Parameters!$B$5)^-(65-B227)</f>
        <v/>
      </c>
      <c r="W227" s="5">
        <f>IF(AND(E227&gt;=66, E227&lt;=69), 5*S227*(1+Parameters!$B$5)^-(E227-B227), 0)</f>
        <v/>
      </c>
      <c r="X227" s="5">
        <f>V227 + W227 + R227</f>
        <v/>
      </c>
      <c r="Y227" s="5">
        <f>IF(E227&gt;=65, M227/S227, "")</f>
        <v/>
      </c>
    </row>
    <row r="228">
      <c r="A228" t="n">
        <v>227</v>
      </c>
      <c r="B228" t="n">
        <v>43</v>
      </c>
      <c r="C228" s="5" t="n">
        <v>5740</v>
      </c>
      <c r="D228" t="n">
        <v>0.0302</v>
      </c>
      <c r="E228" t="n">
        <v>85</v>
      </c>
      <c r="F228" s="5" t="n">
        <v>57400</v>
      </c>
      <c r="G228">
        <f>MIN(65-B228, MAX(0, E228-B228))</f>
        <v/>
      </c>
      <c r="H228">
        <f>B228+G228</f>
        <v/>
      </c>
      <c r="I228" s="5">
        <f>F228*(1+D228)^G228</f>
        <v/>
      </c>
      <c r="J228">
        <f>(1+D228)/(1+Parameters!$B$5)</f>
        <v/>
      </c>
      <c r="K228" s="5">
        <f>IF(G228&gt;0, IF(ROUND(J228, 6)=1, G228 * C228 * (1+Parameters!$B$5)^-0.5, C228 * (1-J228^G228)/(1-J228) * (1+Parameters!$B$5)^-0.5), 0)</f>
        <v/>
      </c>
      <c r="L228" s="5">
        <f>K228*(1-Parameters!$B$4)</f>
        <v/>
      </c>
      <c r="M228" s="5">
        <f>L228*(1+Parameters!$B$5)^G228</f>
        <v/>
      </c>
      <c r="N228" s="5">
        <f>IF(E228&gt;=65, (65-B228)*I228/Parameters!$B$6, 0)</f>
        <v/>
      </c>
      <c r="O228">
        <f>IF(E228&gt;65, (1-(1+Parameters!$B$5)^-(E228-65))/Parameters!$B$5, 0)</f>
        <v/>
      </c>
      <c r="P228" s="5">
        <f>N228 * O228 * (1+Parameters!$B$5)^-(65-B228)</f>
        <v/>
      </c>
      <c r="Q228" s="5">
        <f>IF(AND(E228&gt;=66, E228&lt;=69), 5*N228*(1+Parameters!$B$5)^-(E228-B228), 0)</f>
        <v/>
      </c>
      <c r="R228" s="5">
        <f>IF(E228&lt;=65, L228, 0)</f>
        <v/>
      </c>
      <c r="S228" s="5">
        <f>N228 * (Parameters!$B$6 / Parameters!$B$9)</f>
        <v/>
      </c>
      <c r="T228" s="5">
        <f>P228 + Q228</f>
        <v/>
      </c>
      <c r="U228">
        <f>IF(E228&gt;65, (1-((1+Parameters!$B$10)/(1+Parameters!$B$5))^(E228-65))/(((1+Parameters!$B$5)/(1+Parameters!$B$10))-1), 0)</f>
        <v/>
      </c>
      <c r="V228" s="5">
        <f>S228 * U228 * (1+Parameters!$B$5)^-(65-B228)</f>
        <v/>
      </c>
      <c r="W228" s="5">
        <f>IF(AND(E228&gt;=66, E228&lt;=69), 5*S228*(1+Parameters!$B$5)^-(E228-B228), 0)</f>
        <v/>
      </c>
      <c r="X228" s="5">
        <f>V228 + W228 + R228</f>
        <v/>
      </c>
      <c r="Y228" s="5">
        <f>IF(E228&gt;=65, M228/S228, "")</f>
        <v/>
      </c>
    </row>
    <row r="229">
      <c r="A229" t="n">
        <v>228</v>
      </c>
      <c r="B229" t="n">
        <v>48</v>
      </c>
      <c r="C229" s="5" t="n">
        <v>5360</v>
      </c>
      <c r="D229" t="n">
        <v>0.0323</v>
      </c>
      <c r="E229" t="n">
        <v>93</v>
      </c>
      <c r="F229" s="5" t="n">
        <v>53600</v>
      </c>
      <c r="G229">
        <f>MIN(65-B229, MAX(0, E229-B229))</f>
        <v/>
      </c>
      <c r="H229">
        <f>B229+G229</f>
        <v/>
      </c>
      <c r="I229" s="5">
        <f>F229*(1+D229)^G229</f>
        <v/>
      </c>
      <c r="J229">
        <f>(1+D229)/(1+Parameters!$B$5)</f>
        <v/>
      </c>
      <c r="K229" s="5">
        <f>IF(G229&gt;0, IF(ROUND(J229, 6)=1, G229 * C229 * (1+Parameters!$B$5)^-0.5, C229 * (1-J229^G229)/(1-J229) * (1+Parameters!$B$5)^-0.5), 0)</f>
        <v/>
      </c>
      <c r="L229" s="5">
        <f>K229*(1-Parameters!$B$4)</f>
        <v/>
      </c>
      <c r="M229" s="5">
        <f>L229*(1+Parameters!$B$5)^G229</f>
        <v/>
      </c>
      <c r="N229" s="5">
        <f>IF(E229&gt;=65, (65-B229)*I229/Parameters!$B$6, 0)</f>
        <v/>
      </c>
      <c r="O229">
        <f>IF(E229&gt;65, (1-(1+Parameters!$B$5)^-(E229-65))/Parameters!$B$5, 0)</f>
        <v/>
      </c>
      <c r="P229" s="5">
        <f>N229 * O229 * (1+Parameters!$B$5)^-(65-B229)</f>
        <v/>
      </c>
      <c r="Q229" s="5">
        <f>IF(AND(E229&gt;=66, E229&lt;=69), 5*N229*(1+Parameters!$B$5)^-(E229-B229), 0)</f>
        <v/>
      </c>
      <c r="R229" s="5">
        <f>IF(E229&lt;=65, L229, 0)</f>
        <v/>
      </c>
      <c r="S229" s="5">
        <f>N229 * (Parameters!$B$6 / Parameters!$B$9)</f>
        <v/>
      </c>
      <c r="T229" s="5">
        <f>P229 + Q229</f>
        <v/>
      </c>
      <c r="U229">
        <f>IF(E229&gt;65, (1-((1+Parameters!$B$10)/(1+Parameters!$B$5))^(E229-65))/(((1+Parameters!$B$5)/(1+Parameters!$B$10))-1), 0)</f>
        <v/>
      </c>
      <c r="V229" s="5">
        <f>S229 * U229 * (1+Parameters!$B$5)^-(65-B229)</f>
        <v/>
      </c>
      <c r="W229" s="5">
        <f>IF(AND(E229&gt;=66, E229&lt;=69), 5*S229*(1+Parameters!$B$5)^-(E229-B229), 0)</f>
        <v/>
      </c>
      <c r="X229" s="5">
        <f>V229 + W229 + R229</f>
        <v/>
      </c>
      <c r="Y229" s="5">
        <f>IF(E229&gt;=65, M229/S229, "")</f>
        <v/>
      </c>
    </row>
    <row r="230">
      <c r="A230" t="n">
        <v>229</v>
      </c>
      <c r="B230" t="n">
        <v>26</v>
      </c>
      <c r="C230" s="5" t="n">
        <v>3590</v>
      </c>
      <c r="D230" t="n">
        <v>0.0112</v>
      </c>
      <c r="E230" t="n">
        <v>100</v>
      </c>
      <c r="F230" s="5" t="n">
        <v>35900</v>
      </c>
      <c r="G230">
        <f>MIN(65-B230, MAX(0, E230-B230))</f>
        <v/>
      </c>
      <c r="H230">
        <f>B230+G230</f>
        <v/>
      </c>
      <c r="I230" s="5">
        <f>F230*(1+D230)^G230</f>
        <v/>
      </c>
      <c r="J230">
        <f>(1+D230)/(1+Parameters!$B$5)</f>
        <v/>
      </c>
      <c r="K230" s="5">
        <f>IF(G230&gt;0, IF(ROUND(J230, 6)=1, G230 * C230 * (1+Parameters!$B$5)^-0.5, C230 * (1-J230^G230)/(1-J230) * (1+Parameters!$B$5)^-0.5), 0)</f>
        <v/>
      </c>
      <c r="L230" s="5">
        <f>K230*(1-Parameters!$B$4)</f>
        <v/>
      </c>
      <c r="M230" s="5">
        <f>L230*(1+Parameters!$B$5)^G230</f>
        <v/>
      </c>
      <c r="N230" s="5">
        <f>IF(E230&gt;=65, (65-B230)*I230/Parameters!$B$6, 0)</f>
        <v/>
      </c>
      <c r="O230">
        <f>IF(E230&gt;65, (1-(1+Parameters!$B$5)^-(E230-65))/Parameters!$B$5, 0)</f>
        <v/>
      </c>
      <c r="P230" s="5">
        <f>N230 * O230 * (1+Parameters!$B$5)^-(65-B230)</f>
        <v/>
      </c>
      <c r="Q230" s="5">
        <f>IF(AND(E230&gt;=66, E230&lt;=69), 5*N230*(1+Parameters!$B$5)^-(E230-B230), 0)</f>
        <v/>
      </c>
      <c r="R230" s="5">
        <f>IF(E230&lt;=65, L230, 0)</f>
        <v/>
      </c>
      <c r="S230" s="5">
        <f>N230 * (Parameters!$B$6 / Parameters!$B$9)</f>
        <v/>
      </c>
      <c r="T230" s="5">
        <f>P230 + Q230</f>
        <v/>
      </c>
      <c r="U230">
        <f>IF(E230&gt;65, (1-((1+Parameters!$B$10)/(1+Parameters!$B$5))^(E230-65))/(((1+Parameters!$B$5)/(1+Parameters!$B$10))-1), 0)</f>
        <v/>
      </c>
      <c r="V230" s="5">
        <f>S230 * U230 * (1+Parameters!$B$5)^-(65-B230)</f>
        <v/>
      </c>
      <c r="W230" s="5">
        <f>IF(AND(E230&gt;=66, E230&lt;=69), 5*S230*(1+Parameters!$B$5)^-(E230-B230), 0)</f>
        <v/>
      </c>
      <c r="X230" s="5">
        <f>V230 + W230 + R230</f>
        <v/>
      </c>
      <c r="Y230" s="5">
        <f>IF(E230&gt;=65, M230/S230, "")</f>
        <v/>
      </c>
    </row>
    <row r="231">
      <c r="A231" t="n">
        <v>230</v>
      </c>
      <c r="B231" t="n">
        <v>20</v>
      </c>
      <c r="C231" s="5" t="n">
        <v>2360</v>
      </c>
      <c r="D231" t="n">
        <v>0.007900000000000001</v>
      </c>
      <c r="E231" t="n">
        <v>93</v>
      </c>
      <c r="F231" s="5" t="n">
        <v>23600</v>
      </c>
      <c r="G231">
        <f>MIN(65-B231, MAX(0, E231-B231))</f>
        <v/>
      </c>
      <c r="H231">
        <f>B231+G231</f>
        <v/>
      </c>
      <c r="I231" s="5">
        <f>F231*(1+D231)^G231</f>
        <v/>
      </c>
      <c r="J231">
        <f>(1+D231)/(1+Parameters!$B$5)</f>
        <v/>
      </c>
      <c r="K231" s="5">
        <f>IF(G231&gt;0, IF(ROUND(J231, 6)=1, G231 * C231 * (1+Parameters!$B$5)^-0.5, C231 * (1-J231^G231)/(1-J231) * (1+Parameters!$B$5)^-0.5), 0)</f>
        <v/>
      </c>
      <c r="L231" s="5">
        <f>K231*(1-Parameters!$B$4)</f>
        <v/>
      </c>
      <c r="M231" s="5">
        <f>L231*(1+Parameters!$B$5)^G231</f>
        <v/>
      </c>
      <c r="N231" s="5">
        <f>IF(E231&gt;=65, (65-B231)*I231/Parameters!$B$6, 0)</f>
        <v/>
      </c>
      <c r="O231">
        <f>IF(E231&gt;65, (1-(1+Parameters!$B$5)^-(E231-65))/Parameters!$B$5, 0)</f>
        <v/>
      </c>
      <c r="P231" s="5">
        <f>N231 * O231 * (1+Parameters!$B$5)^-(65-B231)</f>
        <v/>
      </c>
      <c r="Q231" s="5">
        <f>IF(AND(E231&gt;=66, E231&lt;=69), 5*N231*(1+Parameters!$B$5)^-(E231-B231), 0)</f>
        <v/>
      </c>
      <c r="R231" s="5">
        <f>IF(E231&lt;=65, L231, 0)</f>
        <v/>
      </c>
      <c r="S231" s="5">
        <f>N231 * (Parameters!$B$6 / Parameters!$B$9)</f>
        <v/>
      </c>
      <c r="T231" s="5">
        <f>P231 + Q231</f>
        <v/>
      </c>
      <c r="U231">
        <f>IF(E231&gt;65, (1-((1+Parameters!$B$10)/(1+Parameters!$B$5))^(E231-65))/(((1+Parameters!$B$5)/(1+Parameters!$B$10))-1), 0)</f>
        <v/>
      </c>
      <c r="V231" s="5">
        <f>S231 * U231 * (1+Parameters!$B$5)^-(65-B231)</f>
        <v/>
      </c>
      <c r="W231" s="5">
        <f>IF(AND(E231&gt;=66, E231&lt;=69), 5*S231*(1+Parameters!$B$5)^-(E231-B231), 0)</f>
        <v/>
      </c>
      <c r="X231" s="5">
        <f>V231 + W231 + R231</f>
        <v/>
      </c>
      <c r="Y231" s="5">
        <f>IF(E231&gt;=65, M231/S231, "")</f>
        <v/>
      </c>
    </row>
    <row r="232">
      <c r="A232" t="n">
        <v>231</v>
      </c>
      <c r="B232" t="n">
        <v>28</v>
      </c>
      <c r="C232" s="5" t="n">
        <v>2850</v>
      </c>
      <c r="D232" t="n">
        <v>0.045</v>
      </c>
      <c r="E232" t="n">
        <v>103</v>
      </c>
      <c r="F232" s="5" t="n">
        <v>28500</v>
      </c>
      <c r="G232">
        <f>MIN(65-B232, MAX(0, E232-B232))</f>
        <v/>
      </c>
      <c r="H232">
        <f>B232+G232</f>
        <v/>
      </c>
      <c r="I232" s="5">
        <f>F232*(1+D232)^G232</f>
        <v/>
      </c>
      <c r="J232">
        <f>(1+D232)/(1+Parameters!$B$5)</f>
        <v/>
      </c>
      <c r="K232" s="5">
        <f>IF(G232&gt;0, IF(ROUND(J232, 6)=1, G232 * C232 * (1+Parameters!$B$5)^-0.5, C232 * (1-J232^G232)/(1-J232) * (1+Parameters!$B$5)^-0.5), 0)</f>
        <v/>
      </c>
      <c r="L232" s="5">
        <f>K232*(1-Parameters!$B$4)</f>
        <v/>
      </c>
      <c r="M232" s="5">
        <f>L232*(1+Parameters!$B$5)^G232</f>
        <v/>
      </c>
      <c r="N232" s="5">
        <f>IF(E232&gt;=65, (65-B232)*I232/Parameters!$B$6, 0)</f>
        <v/>
      </c>
      <c r="O232">
        <f>IF(E232&gt;65, (1-(1+Parameters!$B$5)^-(E232-65))/Parameters!$B$5, 0)</f>
        <v/>
      </c>
      <c r="P232" s="5">
        <f>N232 * O232 * (1+Parameters!$B$5)^-(65-B232)</f>
        <v/>
      </c>
      <c r="Q232" s="5">
        <f>IF(AND(E232&gt;=66, E232&lt;=69), 5*N232*(1+Parameters!$B$5)^-(E232-B232), 0)</f>
        <v/>
      </c>
      <c r="R232" s="5">
        <f>IF(E232&lt;=65, L232, 0)</f>
        <v/>
      </c>
      <c r="S232" s="5">
        <f>N232 * (Parameters!$B$6 / Parameters!$B$9)</f>
        <v/>
      </c>
      <c r="T232" s="5">
        <f>P232 + Q232</f>
        <v/>
      </c>
      <c r="U232">
        <f>IF(E232&gt;65, (1-((1+Parameters!$B$10)/(1+Parameters!$B$5))^(E232-65))/(((1+Parameters!$B$5)/(1+Parameters!$B$10))-1), 0)</f>
        <v/>
      </c>
      <c r="V232" s="5">
        <f>S232 * U232 * (1+Parameters!$B$5)^-(65-B232)</f>
        <v/>
      </c>
      <c r="W232" s="5">
        <f>IF(AND(E232&gt;=66, E232&lt;=69), 5*S232*(1+Parameters!$B$5)^-(E232-B232), 0)</f>
        <v/>
      </c>
      <c r="X232" s="5">
        <f>V232 + W232 + R232</f>
        <v/>
      </c>
      <c r="Y232" s="5">
        <f>IF(E232&gt;=65, M232/S232, "")</f>
        <v/>
      </c>
    </row>
    <row r="233">
      <c r="A233" t="n">
        <v>232</v>
      </c>
      <c r="B233" t="n">
        <v>58</v>
      </c>
      <c r="C233" s="5" t="n">
        <v>2040</v>
      </c>
      <c r="D233" t="n">
        <v>0.0173</v>
      </c>
      <c r="E233" t="n">
        <v>64</v>
      </c>
      <c r="F233" s="5" t="n">
        <v>20400</v>
      </c>
      <c r="G233">
        <f>MIN(65-B233, MAX(0, E233-B233))</f>
        <v/>
      </c>
      <c r="H233">
        <f>B233+G233</f>
        <v/>
      </c>
      <c r="I233" s="5">
        <f>F233*(1+D233)^G233</f>
        <v/>
      </c>
      <c r="J233">
        <f>(1+D233)/(1+Parameters!$B$5)</f>
        <v/>
      </c>
      <c r="K233" s="5">
        <f>IF(G233&gt;0, IF(ROUND(J233, 6)=1, G233 * C233 * (1+Parameters!$B$5)^-0.5, C233 * (1-J233^G233)/(1-J233) * (1+Parameters!$B$5)^-0.5), 0)</f>
        <v/>
      </c>
      <c r="L233" s="5">
        <f>K233*(1-Parameters!$B$4)</f>
        <v/>
      </c>
      <c r="M233" s="5">
        <f>L233*(1+Parameters!$B$5)^G233</f>
        <v/>
      </c>
      <c r="N233" s="5">
        <f>IF(E233&gt;=65, (65-B233)*I233/Parameters!$B$6, 0)</f>
        <v/>
      </c>
      <c r="O233">
        <f>IF(E233&gt;65, (1-(1+Parameters!$B$5)^-(E233-65))/Parameters!$B$5, 0)</f>
        <v/>
      </c>
      <c r="P233" s="5">
        <f>N233 * O233 * (1+Parameters!$B$5)^-(65-B233)</f>
        <v/>
      </c>
      <c r="Q233" s="5">
        <f>IF(AND(E233&gt;=66, E233&lt;=69), 5*N233*(1+Parameters!$B$5)^-(E233-B233), 0)</f>
        <v/>
      </c>
      <c r="R233" s="5">
        <f>IF(E233&lt;=65, L233, 0)</f>
        <v/>
      </c>
      <c r="S233" s="5">
        <f>N233 * (Parameters!$B$6 / Parameters!$B$9)</f>
        <v/>
      </c>
      <c r="T233" s="5">
        <f>P233 + Q233</f>
        <v/>
      </c>
      <c r="U233">
        <f>IF(E233&gt;65, (1-((1+Parameters!$B$10)/(1+Parameters!$B$5))^(E233-65))/(((1+Parameters!$B$5)/(1+Parameters!$B$10))-1), 0)</f>
        <v/>
      </c>
      <c r="V233" s="5">
        <f>S233 * U233 * (1+Parameters!$B$5)^-(65-B233)</f>
        <v/>
      </c>
      <c r="W233" s="5">
        <f>IF(AND(E233&gt;=66, E233&lt;=69), 5*S233*(1+Parameters!$B$5)^-(E233-B233), 0)</f>
        <v/>
      </c>
      <c r="X233" s="5">
        <f>V233 + W233 + R233</f>
        <v/>
      </c>
      <c r="Y233" s="5">
        <f>IF(E233&gt;=65, M233/S233, "")</f>
        <v/>
      </c>
    </row>
    <row r="234">
      <c r="A234" t="n">
        <v>233</v>
      </c>
      <c r="B234" t="n">
        <v>32</v>
      </c>
      <c r="C234" s="5" t="n">
        <v>1310</v>
      </c>
      <c r="D234" t="n">
        <v>0.0285</v>
      </c>
      <c r="E234" t="n">
        <v>97</v>
      </c>
      <c r="F234" s="5" t="n">
        <v>13100</v>
      </c>
      <c r="G234">
        <f>MIN(65-B234, MAX(0, E234-B234))</f>
        <v/>
      </c>
      <c r="H234">
        <f>B234+G234</f>
        <v/>
      </c>
      <c r="I234" s="5">
        <f>F234*(1+D234)^G234</f>
        <v/>
      </c>
      <c r="J234">
        <f>(1+D234)/(1+Parameters!$B$5)</f>
        <v/>
      </c>
      <c r="K234" s="5">
        <f>IF(G234&gt;0, IF(ROUND(J234, 6)=1, G234 * C234 * (1+Parameters!$B$5)^-0.5, C234 * (1-J234^G234)/(1-J234) * (1+Parameters!$B$5)^-0.5), 0)</f>
        <v/>
      </c>
      <c r="L234" s="5">
        <f>K234*(1-Parameters!$B$4)</f>
        <v/>
      </c>
      <c r="M234" s="5">
        <f>L234*(1+Parameters!$B$5)^G234</f>
        <v/>
      </c>
      <c r="N234" s="5">
        <f>IF(E234&gt;=65, (65-B234)*I234/Parameters!$B$6, 0)</f>
        <v/>
      </c>
      <c r="O234">
        <f>IF(E234&gt;65, (1-(1+Parameters!$B$5)^-(E234-65))/Parameters!$B$5, 0)</f>
        <v/>
      </c>
      <c r="P234" s="5">
        <f>N234 * O234 * (1+Parameters!$B$5)^-(65-B234)</f>
        <v/>
      </c>
      <c r="Q234" s="5">
        <f>IF(AND(E234&gt;=66, E234&lt;=69), 5*N234*(1+Parameters!$B$5)^-(E234-B234), 0)</f>
        <v/>
      </c>
      <c r="R234" s="5">
        <f>IF(E234&lt;=65, L234, 0)</f>
        <v/>
      </c>
      <c r="S234" s="5">
        <f>N234 * (Parameters!$B$6 / Parameters!$B$9)</f>
        <v/>
      </c>
      <c r="T234" s="5">
        <f>P234 + Q234</f>
        <v/>
      </c>
      <c r="U234">
        <f>IF(E234&gt;65, (1-((1+Parameters!$B$10)/(1+Parameters!$B$5))^(E234-65))/(((1+Parameters!$B$5)/(1+Parameters!$B$10))-1), 0)</f>
        <v/>
      </c>
      <c r="V234" s="5">
        <f>S234 * U234 * (1+Parameters!$B$5)^-(65-B234)</f>
        <v/>
      </c>
      <c r="W234" s="5">
        <f>IF(AND(E234&gt;=66, E234&lt;=69), 5*S234*(1+Parameters!$B$5)^-(E234-B234), 0)</f>
        <v/>
      </c>
      <c r="X234" s="5">
        <f>V234 + W234 + R234</f>
        <v/>
      </c>
      <c r="Y234" s="5">
        <f>IF(E234&gt;=65, M234/S234, "")</f>
        <v/>
      </c>
    </row>
    <row r="235">
      <c r="A235" t="n">
        <v>234</v>
      </c>
      <c r="B235" t="n">
        <v>18</v>
      </c>
      <c r="C235" s="5" t="n">
        <v>1900</v>
      </c>
      <c r="D235" t="n">
        <v>0.0315</v>
      </c>
      <c r="E235" t="n">
        <v>91</v>
      </c>
      <c r="F235" s="5" t="n">
        <v>19000</v>
      </c>
      <c r="G235">
        <f>MIN(65-B235, MAX(0, E235-B235))</f>
        <v/>
      </c>
      <c r="H235">
        <f>B235+G235</f>
        <v/>
      </c>
      <c r="I235" s="5">
        <f>F235*(1+D235)^G235</f>
        <v/>
      </c>
      <c r="J235">
        <f>(1+D235)/(1+Parameters!$B$5)</f>
        <v/>
      </c>
      <c r="K235" s="5">
        <f>IF(G235&gt;0, IF(ROUND(J235, 6)=1, G235 * C235 * (1+Parameters!$B$5)^-0.5, C235 * (1-J235^G235)/(1-J235) * (1+Parameters!$B$5)^-0.5), 0)</f>
        <v/>
      </c>
      <c r="L235" s="5">
        <f>K235*(1-Parameters!$B$4)</f>
        <v/>
      </c>
      <c r="M235" s="5">
        <f>L235*(1+Parameters!$B$5)^G235</f>
        <v/>
      </c>
      <c r="N235" s="5">
        <f>IF(E235&gt;=65, (65-B235)*I235/Parameters!$B$6, 0)</f>
        <v/>
      </c>
      <c r="O235">
        <f>IF(E235&gt;65, (1-(1+Parameters!$B$5)^-(E235-65))/Parameters!$B$5, 0)</f>
        <v/>
      </c>
      <c r="P235" s="5">
        <f>N235 * O235 * (1+Parameters!$B$5)^-(65-B235)</f>
        <v/>
      </c>
      <c r="Q235" s="5">
        <f>IF(AND(E235&gt;=66, E235&lt;=69), 5*N235*(1+Parameters!$B$5)^-(E235-B235), 0)</f>
        <v/>
      </c>
      <c r="R235" s="5">
        <f>IF(E235&lt;=65, L235, 0)</f>
        <v/>
      </c>
      <c r="S235" s="5">
        <f>N235 * (Parameters!$B$6 / Parameters!$B$9)</f>
        <v/>
      </c>
      <c r="T235" s="5">
        <f>P235 + Q235</f>
        <v/>
      </c>
      <c r="U235">
        <f>IF(E235&gt;65, (1-((1+Parameters!$B$10)/(1+Parameters!$B$5))^(E235-65))/(((1+Parameters!$B$5)/(1+Parameters!$B$10))-1), 0)</f>
        <v/>
      </c>
      <c r="V235" s="5">
        <f>S235 * U235 * (1+Parameters!$B$5)^-(65-B235)</f>
        <v/>
      </c>
      <c r="W235" s="5">
        <f>IF(AND(E235&gt;=66, E235&lt;=69), 5*S235*(1+Parameters!$B$5)^-(E235-B235), 0)</f>
        <v/>
      </c>
      <c r="X235" s="5">
        <f>V235 + W235 + R235</f>
        <v/>
      </c>
      <c r="Y235" s="5">
        <f>IF(E235&gt;=65, M235/S235, "")</f>
        <v/>
      </c>
    </row>
    <row r="236">
      <c r="A236" t="n">
        <v>235</v>
      </c>
      <c r="B236" t="n">
        <v>51</v>
      </c>
      <c r="C236" s="5" t="n">
        <v>9150</v>
      </c>
      <c r="D236" t="n">
        <v>0.0124</v>
      </c>
      <c r="E236" t="n">
        <v>69</v>
      </c>
      <c r="F236" s="5" t="n">
        <v>91500</v>
      </c>
      <c r="G236">
        <f>MIN(65-B236, MAX(0, E236-B236))</f>
        <v/>
      </c>
      <c r="H236">
        <f>B236+G236</f>
        <v/>
      </c>
      <c r="I236" s="5">
        <f>F236*(1+D236)^G236</f>
        <v/>
      </c>
      <c r="J236">
        <f>(1+D236)/(1+Parameters!$B$5)</f>
        <v/>
      </c>
      <c r="K236" s="5">
        <f>IF(G236&gt;0, IF(ROUND(J236, 6)=1, G236 * C236 * (1+Parameters!$B$5)^-0.5, C236 * (1-J236^G236)/(1-J236) * (1+Parameters!$B$5)^-0.5), 0)</f>
        <v/>
      </c>
      <c r="L236" s="5">
        <f>K236*(1-Parameters!$B$4)</f>
        <v/>
      </c>
      <c r="M236" s="5">
        <f>L236*(1+Parameters!$B$5)^G236</f>
        <v/>
      </c>
      <c r="N236" s="5">
        <f>IF(E236&gt;=65, (65-B236)*I236/Parameters!$B$6, 0)</f>
        <v/>
      </c>
      <c r="O236">
        <f>IF(E236&gt;65, (1-(1+Parameters!$B$5)^-(E236-65))/Parameters!$B$5, 0)</f>
        <v/>
      </c>
      <c r="P236" s="5">
        <f>N236 * O236 * (1+Parameters!$B$5)^-(65-B236)</f>
        <v/>
      </c>
      <c r="Q236" s="5">
        <f>IF(AND(E236&gt;=66, E236&lt;=69), 5*N236*(1+Parameters!$B$5)^-(E236-B236), 0)</f>
        <v/>
      </c>
      <c r="R236" s="5">
        <f>IF(E236&lt;=65, L236, 0)</f>
        <v/>
      </c>
      <c r="S236" s="5">
        <f>N236 * (Parameters!$B$6 / Parameters!$B$9)</f>
        <v/>
      </c>
      <c r="T236" s="5">
        <f>P236 + Q236</f>
        <v/>
      </c>
      <c r="U236">
        <f>IF(E236&gt;65, (1-((1+Parameters!$B$10)/(1+Parameters!$B$5))^(E236-65))/(((1+Parameters!$B$5)/(1+Parameters!$B$10))-1), 0)</f>
        <v/>
      </c>
      <c r="V236" s="5">
        <f>S236 * U236 * (1+Parameters!$B$5)^-(65-B236)</f>
        <v/>
      </c>
      <c r="W236" s="5">
        <f>IF(AND(E236&gt;=66, E236&lt;=69), 5*S236*(1+Parameters!$B$5)^-(E236-B236), 0)</f>
        <v/>
      </c>
      <c r="X236" s="5">
        <f>V236 + W236 + R236</f>
        <v/>
      </c>
      <c r="Y236" s="5">
        <f>IF(E236&gt;=65, M236/S236, "")</f>
        <v/>
      </c>
    </row>
    <row r="237">
      <c r="A237" t="n">
        <v>236</v>
      </c>
      <c r="B237" t="n">
        <v>57</v>
      </c>
      <c r="C237" s="5" t="n">
        <v>5140</v>
      </c>
      <c r="D237" t="n">
        <v>0.0237</v>
      </c>
      <c r="E237" t="n">
        <v>76</v>
      </c>
      <c r="F237" s="5" t="n">
        <v>51400</v>
      </c>
      <c r="G237">
        <f>MIN(65-B237, MAX(0, E237-B237))</f>
        <v/>
      </c>
      <c r="H237">
        <f>B237+G237</f>
        <v/>
      </c>
      <c r="I237" s="5">
        <f>F237*(1+D237)^G237</f>
        <v/>
      </c>
      <c r="J237">
        <f>(1+D237)/(1+Parameters!$B$5)</f>
        <v/>
      </c>
      <c r="K237" s="5">
        <f>IF(G237&gt;0, IF(ROUND(J237, 6)=1, G237 * C237 * (1+Parameters!$B$5)^-0.5, C237 * (1-J237^G237)/(1-J237) * (1+Parameters!$B$5)^-0.5), 0)</f>
        <v/>
      </c>
      <c r="L237" s="5">
        <f>K237*(1-Parameters!$B$4)</f>
        <v/>
      </c>
      <c r="M237" s="5">
        <f>L237*(1+Parameters!$B$5)^G237</f>
        <v/>
      </c>
      <c r="N237" s="5">
        <f>IF(E237&gt;=65, (65-B237)*I237/Parameters!$B$6, 0)</f>
        <v/>
      </c>
      <c r="O237">
        <f>IF(E237&gt;65, (1-(1+Parameters!$B$5)^-(E237-65))/Parameters!$B$5, 0)</f>
        <v/>
      </c>
      <c r="P237" s="5">
        <f>N237 * O237 * (1+Parameters!$B$5)^-(65-B237)</f>
        <v/>
      </c>
      <c r="Q237" s="5">
        <f>IF(AND(E237&gt;=66, E237&lt;=69), 5*N237*(1+Parameters!$B$5)^-(E237-B237), 0)</f>
        <v/>
      </c>
      <c r="R237" s="5">
        <f>IF(E237&lt;=65, L237, 0)</f>
        <v/>
      </c>
      <c r="S237" s="5">
        <f>N237 * (Parameters!$B$6 / Parameters!$B$9)</f>
        <v/>
      </c>
      <c r="T237" s="5">
        <f>P237 + Q237</f>
        <v/>
      </c>
      <c r="U237">
        <f>IF(E237&gt;65, (1-((1+Parameters!$B$10)/(1+Parameters!$B$5))^(E237-65))/(((1+Parameters!$B$5)/(1+Parameters!$B$10))-1), 0)</f>
        <v/>
      </c>
      <c r="V237" s="5">
        <f>S237 * U237 * (1+Parameters!$B$5)^-(65-B237)</f>
        <v/>
      </c>
      <c r="W237" s="5">
        <f>IF(AND(E237&gt;=66, E237&lt;=69), 5*S237*(1+Parameters!$B$5)^-(E237-B237), 0)</f>
        <v/>
      </c>
      <c r="X237" s="5">
        <f>V237 + W237 + R237</f>
        <v/>
      </c>
      <c r="Y237" s="5">
        <f>IF(E237&gt;=65, M237/S237, "")</f>
        <v/>
      </c>
    </row>
    <row r="238">
      <c r="A238" t="n">
        <v>237</v>
      </c>
      <c r="B238" t="n">
        <v>42</v>
      </c>
      <c r="C238" s="5" t="n">
        <v>10700</v>
      </c>
      <c r="D238" t="n">
        <v>0.0481</v>
      </c>
      <c r="E238" t="n">
        <v>82</v>
      </c>
      <c r="F238" s="5" t="n">
        <v>107000</v>
      </c>
      <c r="G238">
        <f>MIN(65-B238, MAX(0, E238-B238))</f>
        <v/>
      </c>
      <c r="H238">
        <f>B238+G238</f>
        <v/>
      </c>
      <c r="I238" s="5">
        <f>F238*(1+D238)^G238</f>
        <v/>
      </c>
      <c r="J238">
        <f>(1+D238)/(1+Parameters!$B$5)</f>
        <v/>
      </c>
      <c r="K238" s="5">
        <f>IF(G238&gt;0, IF(ROUND(J238, 6)=1, G238 * C238 * (1+Parameters!$B$5)^-0.5, C238 * (1-J238^G238)/(1-J238) * (1+Parameters!$B$5)^-0.5), 0)</f>
        <v/>
      </c>
      <c r="L238" s="5">
        <f>K238*(1-Parameters!$B$4)</f>
        <v/>
      </c>
      <c r="M238" s="5">
        <f>L238*(1+Parameters!$B$5)^G238</f>
        <v/>
      </c>
      <c r="N238" s="5">
        <f>IF(E238&gt;=65, (65-B238)*I238/Parameters!$B$6, 0)</f>
        <v/>
      </c>
      <c r="O238">
        <f>IF(E238&gt;65, (1-(1+Parameters!$B$5)^-(E238-65))/Parameters!$B$5, 0)</f>
        <v/>
      </c>
      <c r="P238" s="5">
        <f>N238 * O238 * (1+Parameters!$B$5)^-(65-B238)</f>
        <v/>
      </c>
      <c r="Q238" s="5">
        <f>IF(AND(E238&gt;=66, E238&lt;=69), 5*N238*(1+Parameters!$B$5)^-(E238-B238), 0)</f>
        <v/>
      </c>
      <c r="R238" s="5">
        <f>IF(E238&lt;=65, L238, 0)</f>
        <v/>
      </c>
      <c r="S238" s="5">
        <f>N238 * (Parameters!$B$6 / Parameters!$B$9)</f>
        <v/>
      </c>
      <c r="T238" s="5">
        <f>P238 + Q238</f>
        <v/>
      </c>
      <c r="U238">
        <f>IF(E238&gt;65, (1-((1+Parameters!$B$10)/(1+Parameters!$B$5))^(E238-65))/(((1+Parameters!$B$5)/(1+Parameters!$B$10))-1), 0)</f>
        <v/>
      </c>
      <c r="V238" s="5">
        <f>S238 * U238 * (1+Parameters!$B$5)^-(65-B238)</f>
        <v/>
      </c>
      <c r="W238" s="5">
        <f>IF(AND(E238&gt;=66, E238&lt;=69), 5*S238*(1+Parameters!$B$5)^-(E238-B238), 0)</f>
        <v/>
      </c>
      <c r="X238" s="5">
        <f>V238 + W238 + R238</f>
        <v/>
      </c>
      <c r="Y238" s="5">
        <f>IF(E238&gt;=65, M238/S238, "")</f>
        <v/>
      </c>
    </row>
    <row r="239">
      <c r="A239" t="n">
        <v>238</v>
      </c>
      <c r="B239" t="n">
        <v>35</v>
      </c>
      <c r="C239" s="5" t="n">
        <v>5550</v>
      </c>
      <c r="D239" t="n">
        <v>0.0361</v>
      </c>
      <c r="E239" t="n">
        <v>75</v>
      </c>
      <c r="F239" s="5" t="n">
        <v>55500</v>
      </c>
      <c r="G239">
        <f>MIN(65-B239, MAX(0, E239-B239))</f>
        <v/>
      </c>
      <c r="H239">
        <f>B239+G239</f>
        <v/>
      </c>
      <c r="I239" s="5">
        <f>F239*(1+D239)^G239</f>
        <v/>
      </c>
      <c r="J239">
        <f>(1+D239)/(1+Parameters!$B$5)</f>
        <v/>
      </c>
      <c r="K239" s="5">
        <f>IF(G239&gt;0, IF(ROUND(J239, 6)=1, G239 * C239 * (1+Parameters!$B$5)^-0.5, C239 * (1-J239^G239)/(1-J239) * (1+Parameters!$B$5)^-0.5), 0)</f>
        <v/>
      </c>
      <c r="L239" s="5">
        <f>K239*(1-Parameters!$B$4)</f>
        <v/>
      </c>
      <c r="M239" s="5">
        <f>L239*(1+Parameters!$B$5)^G239</f>
        <v/>
      </c>
      <c r="N239" s="5">
        <f>IF(E239&gt;=65, (65-B239)*I239/Parameters!$B$6, 0)</f>
        <v/>
      </c>
      <c r="O239">
        <f>IF(E239&gt;65, (1-(1+Parameters!$B$5)^-(E239-65))/Parameters!$B$5, 0)</f>
        <v/>
      </c>
      <c r="P239" s="5">
        <f>N239 * O239 * (1+Parameters!$B$5)^-(65-B239)</f>
        <v/>
      </c>
      <c r="Q239" s="5">
        <f>IF(AND(E239&gt;=66, E239&lt;=69), 5*N239*(1+Parameters!$B$5)^-(E239-B239), 0)</f>
        <v/>
      </c>
      <c r="R239" s="5">
        <f>IF(E239&lt;=65, L239, 0)</f>
        <v/>
      </c>
      <c r="S239" s="5">
        <f>N239 * (Parameters!$B$6 / Parameters!$B$9)</f>
        <v/>
      </c>
      <c r="T239" s="5">
        <f>P239 + Q239</f>
        <v/>
      </c>
      <c r="U239">
        <f>IF(E239&gt;65, (1-((1+Parameters!$B$10)/(1+Parameters!$B$5))^(E239-65))/(((1+Parameters!$B$5)/(1+Parameters!$B$10))-1), 0)</f>
        <v/>
      </c>
      <c r="V239" s="5">
        <f>S239 * U239 * (1+Parameters!$B$5)^-(65-B239)</f>
        <v/>
      </c>
      <c r="W239" s="5">
        <f>IF(AND(E239&gt;=66, E239&lt;=69), 5*S239*(1+Parameters!$B$5)^-(E239-B239), 0)</f>
        <v/>
      </c>
      <c r="X239" s="5">
        <f>V239 + W239 + R239</f>
        <v/>
      </c>
      <c r="Y239" s="5">
        <f>IF(E239&gt;=65, M239/S239, "")</f>
        <v/>
      </c>
    </row>
    <row r="240">
      <c r="A240" t="n">
        <v>239</v>
      </c>
      <c r="B240" t="n">
        <v>51</v>
      </c>
      <c r="C240" s="5" t="n">
        <v>11910</v>
      </c>
      <c r="D240" t="n">
        <v>0.013</v>
      </c>
      <c r="E240" t="n">
        <v>79</v>
      </c>
      <c r="F240" s="5" t="n">
        <v>119100</v>
      </c>
      <c r="G240">
        <f>MIN(65-B240, MAX(0, E240-B240))</f>
        <v/>
      </c>
      <c r="H240">
        <f>B240+G240</f>
        <v/>
      </c>
      <c r="I240" s="5">
        <f>F240*(1+D240)^G240</f>
        <v/>
      </c>
      <c r="J240">
        <f>(1+D240)/(1+Parameters!$B$5)</f>
        <v/>
      </c>
      <c r="K240" s="5">
        <f>IF(G240&gt;0, IF(ROUND(J240, 6)=1, G240 * C240 * (1+Parameters!$B$5)^-0.5, C240 * (1-J240^G240)/(1-J240) * (1+Parameters!$B$5)^-0.5), 0)</f>
        <v/>
      </c>
      <c r="L240" s="5">
        <f>K240*(1-Parameters!$B$4)</f>
        <v/>
      </c>
      <c r="M240" s="5">
        <f>L240*(1+Parameters!$B$5)^G240</f>
        <v/>
      </c>
      <c r="N240" s="5">
        <f>IF(E240&gt;=65, (65-B240)*I240/Parameters!$B$6, 0)</f>
        <v/>
      </c>
      <c r="O240">
        <f>IF(E240&gt;65, (1-(1+Parameters!$B$5)^-(E240-65))/Parameters!$B$5, 0)</f>
        <v/>
      </c>
      <c r="P240" s="5">
        <f>N240 * O240 * (1+Parameters!$B$5)^-(65-B240)</f>
        <v/>
      </c>
      <c r="Q240" s="5">
        <f>IF(AND(E240&gt;=66, E240&lt;=69), 5*N240*(1+Parameters!$B$5)^-(E240-B240), 0)</f>
        <v/>
      </c>
      <c r="R240" s="5">
        <f>IF(E240&lt;=65, L240, 0)</f>
        <v/>
      </c>
      <c r="S240" s="5">
        <f>N240 * (Parameters!$B$6 / Parameters!$B$9)</f>
        <v/>
      </c>
      <c r="T240" s="5">
        <f>P240 + Q240</f>
        <v/>
      </c>
      <c r="U240">
        <f>IF(E240&gt;65, (1-((1+Parameters!$B$10)/(1+Parameters!$B$5))^(E240-65))/(((1+Parameters!$B$5)/(1+Parameters!$B$10))-1), 0)</f>
        <v/>
      </c>
      <c r="V240" s="5">
        <f>S240 * U240 * (1+Parameters!$B$5)^-(65-B240)</f>
        <v/>
      </c>
      <c r="W240" s="5">
        <f>IF(AND(E240&gt;=66, E240&lt;=69), 5*S240*(1+Parameters!$B$5)^-(E240-B240), 0)</f>
        <v/>
      </c>
      <c r="X240" s="5">
        <f>V240 + W240 + R240</f>
        <v/>
      </c>
      <c r="Y240" s="5">
        <f>IF(E240&gt;=65, M240/S240, "")</f>
        <v/>
      </c>
    </row>
    <row r="241">
      <c r="A241" t="n">
        <v>240</v>
      </c>
      <c r="B241" t="n">
        <v>20</v>
      </c>
      <c r="C241" s="5" t="n">
        <v>2090</v>
      </c>
      <c r="D241" t="n">
        <v>0.0571</v>
      </c>
      <c r="E241" t="n">
        <v>79</v>
      </c>
      <c r="F241" s="5" t="n">
        <v>20900</v>
      </c>
      <c r="G241">
        <f>MIN(65-B241, MAX(0, E241-B241))</f>
        <v/>
      </c>
      <c r="H241">
        <f>B241+G241</f>
        <v/>
      </c>
      <c r="I241" s="5">
        <f>F241*(1+D241)^G241</f>
        <v/>
      </c>
      <c r="J241">
        <f>(1+D241)/(1+Parameters!$B$5)</f>
        <v/>
      </c>
      <c r="K241" s="5">
        <f>IF(G241&gt;0, IF(ROUND(J241, 6)=1, G241 * C241 * (1+Parameters!$B$5)^-0.5, C241 * (1-J241^G241)/(1-J241) * (1+Parameters!$B$5)^-0.5), 0)</f>
        <v/>
      </c>
      <c r="L241" s="5">
        <f>K241*(1-Parameters!$B$4)</f>
        <v/>
      </c>
      <c r="M241" s="5">
        <f>L241*(1+Parameters!$B$5)^G241</f>
        <v/>
      </c>
      <c r="N241" s="5">
        <f>IF(E241&gt;=65, (65-B241)*I241/Parameters!$B$6, 0)</f>
        <v/>
      </c>
      <c r="O241">
        <f>IF(E241&gt;65, (1-(1+Parameters!$B$5)^-(E241-65))/Parameters!$B$5, 0)</f>
        <v/>
      </c>
      <c r="P241" s="5">
        <f>N241 * O241 * (1+Parameters!$B$5)^-(65-B241)</f>
        <v/>
      </c>
      <c r="Q241" s="5">
        <f>IF(AND(E241&gt;=66, E241&lt;=69), 5*N241*(1+Parameters!$B$5)^-(E241-B241), 0)</f>
        <v/>
      </c>
      <c r="R241" s="5">
        <f>IF(E241&lt;=65, L241, 0)</f>
        <v/>
      </c>
      <c r="S241" s="5">
        <f>N241 * (Parameters!$B$6 / Parameters!$B$9)</f>
        <v/>
      </c>
      <c r="T241" s="5">
        <f>P241 + Q241</f>
        <v/>
      </c>
      <c r="U241">
        <f>IF(E241&gt;65, (1-((1+Parameters!$B$10)/(1+Parameters!$B$5))^(E241-65))/(((1+Parameters!$B$5)/(1+Parameters!$B$10))-1), 0)</f>
        <v/>
      </c>
      <c r="V241" s="5">
        <f>S241 * U241 * (1+Parameters!$B$5)^-(65-B241)</f>
        <v/>
      </c>
      <c r="W241" s="5">
        <f>IF(AND(E241&gt;=66, E241&lt;=69), 5*S241*(1+Parameters!$B$5)^-(E241-B241), 0)</f>
        <v/>
      </c>
      <c r="X241" s="5">
        <f>V241 + W241 + R241</f>
        <v/>
      </c>
      <c r="Y241" s="5">
        <f>IF(E241&gt;=65, M241/S241, "")</f>
        <v/>
      </c>
    </row>
    <row r="242">
      <c r="A242" t="n">
        <v>241</v>
      </c>
      <c r="B242" t="n">
        <v>37</v>
      </c>
      <c r="C242" s="5" t="n">
        <v>2550</v>
      </c>
      <c r="D242" t="n">
        <v>0.0161</v>
      </c>
      <c r="E242" t="n">
        <v>78</v>
      </c>
      <c r="F242" s="5" t="n">
        <v>25500</v>
      </c>
      <c r="G242">
        <f>MIN(65-B242, MAX(0, E242-B242))</f>
        <v/>
      </c>
      <c r="H242">
        <f>B242+G242</f>
        <v/>
      </c>
      <c r="I242" s="5">
        <f>F242*(1+D242)^G242</f>
        <v/>
      </c>
      <c r="J242">
        <f>(1+D242)/(1+Parameters!$B$5)</f>
        <v/>
      </c>
      <c r="K242" s="5">
        <f>IF(G242&gt;0, IF(ROUND(J242, 6)=1, G242 * C242 * (1+Parameters!$B$5)^-0.5, C242 * (1-J242^G242)/(1-J242) * (1+Parameters!$B$5)^-0.5), 0)</f>
        <v/>
      </c>
      <c r="L242" s="5">
        <f>K242*(1-Parameters!$B$4)</f>
        <v/>
      </c>
      <c r="M242" s="5">
        <f>L242*(1+Parameters!$B$5)^G242</f>
        <v/>
      </c>
      <c r="N242" s="5">
        <f>IF(E242&gt;=65, (65-B242)*I242/Parameters!$B$6, 0)</f>
        <v/>
      </c>
      <c r="O242">
        <f>IF(E242&gt;65, (1-(1+Parameters!$B$5)^-(E242-65))/Parameters!$B$5, 0)</f>
        <v/>
      </c>
      <c r="P242" s="5">
        <f>N242 * O242 * (1+Parameters!$B$5)^-(65-B242)</f>
        <v/>
      </c>
      <c r="Q242" s="5">
        <f>IF(AND(E242&gt;=66, E242&lt;=69), 5*N242*(1+Parameters!$B$5)^-(E242-B242), 0)</f>
        <v/>
      </c>
      <c r="R242" s="5">
        <f>IF(E242&lt;=65, L242, 0)</f>
        <v/>
      </c>
      <c r="S242" s="5">
        <f>N242 * (Parameters!$B$6 / Parameters!$B$9)</f>
        <v/>
      </c>
      <c r="T242" s="5">
        <f>P242 + Q242</f>
        <v/>
      </c>
      <c r="U242">
        <f>IF(E242&gt;65, (1-((1+Parameters!$B$10)/(1+Parameters!$B$5))^(E242-65))/(((1+Parameters!$B$5)/(1+Parameters!$B$10))-1), 0)</f>
        <v/>
      </c>
      <c r="V242" s="5">
        <f>S242 * U242 * (1+Parameters!$B$5)^-(65-B242)</f>
        <v/>
      </c>
      <c r="W242" s="5">
        <f>IF(AND(E242&gt;=66, E242&lt;=69), 5*S242*(1+Parameters!$B$5)^-(E242-B242), 0)</f>
        <v/>
      </c>
      <c r="X242" s="5">
        <f>V242 + W242 + R242</f>
        <v/>
      </c>
      <c r="Y242" s="5">
        <f>IF(E242&gt;=65, M242/S242, "")</f>
        <v/>
      </c>
    </row>
    <row r="243">
      <c r="A243" t="n">
        <v>242</v>
      </c>
      <c r="B243" t="n">
        <v>21</v>
      </c>
      <c r="C243" s="5" t="n">
        <v>2590</v>
      </c>
      <c r="D243" t="n">
        <v>0.0574</v>
      </c>
      <c r="E243" t="n">
        <v>77</v>
      </c>
      <c r="F243" s="5" t="n">
        <v>25900</v>
      </c>
      <c r="G243">
        <f>MIN(65-B243, MAX(0, E243-B243))</f>
        <v/>
      </c>
      <c r="H243">
        <f>B243+G243</f>
        <v/>
      </c>
      <c r="I243" s="5">
        <f>F243*(1+D243)^G243</f>
        <v/>
      </c>
      <c r="J243">
        <f>(1+D243)/(1+Parameters!$B$5)</f>
        <v/>
      </c>
      <c r="K243" s="5">
        <f>IF(G243&gt;0, IF(ROUND(J243, 6)=1, G243 * C243 * (1+Parameters!$B$5)^-0.5, C243 * (1-J243^G243)/(1-J243) * (1+Parameters!$B$5)^-0.5), 0)</f>
        <v/>
      </c>
      <c r="L243" s="5">
        <f>K243*(1-Parameters!$B$4)</f>
        <v/>
      </c>
      <c r="M243" s="5">
        <f>L243*(1+Parameters!$B$5)^G243</f>
        <v/>
      </c>
      <c r="N243" s="5">
        <f>IF(E243&gt;=65, (65-B243)*I243/Parameters!$B$6, 0)</f>
        <v/>
      </c>
      <c r="O243">
        <f>IF(E243&gt;65, (1-(1+Parameters!$B$5)^-(E243-65))/Parameters!$B$5, 0)</f>
        <v/>
      </c>
      <c r="P243" s="5">
        <f>N243 * O243 * (1+Parameters!$B$5)^-(65-B243)</f>
        <v/>
      </c>
      <c r="Q243" s="5">
        <f>IF(AND(E243&gt;=66, E243&lt;=69), 5*N243*(1+Parameters!$B$5)^-(E243-B243), 0)</f>
        <v/>
      </c>
      <c r="R243" s="5">
        <f>IF(E243&lt;=65, L243, 0)</f>
        <v/>
      </c>
      <c r="S243" s="5">
        <f>N243 * (Parameters!$B$6 / Parameters!$B$9)</f>
        <v/>
      </c>
      <c r="T243" s="5">
        <f>P243 + Q243</f>
        <v/>
      </c>
      <c r="U243">
        <f>IF(E243&gt;65, (1-((1+Parameters!$B$10)/(1+Parameters!$B$5))^(E243-65))/(((1+Parameters!$B$5)/(1+Parameters!$B$10))-1), 0)</f>
        <v/>
      </c>
      <c r="V243" s="5">
        <f>S243 * U243 * (1+Parameters!$B$5)^-(65-B243)</f>
        <v/>
      </c>
      <c r="W243" s="5">
        <f>IF(AND(E243&gt;=66, E243&lt;=69), 5*S243*(1+Parameters!$B$5)^-(E243-B243), 0)</f>
        <v/>
      </c>
      <c r="X243" s="5">
        <f>V243 + W243 + R243</f>
        <v/>
      </c>
      <c r="Y243" s="5">
        <f>IF(E243&gt;=65, M243/S243, "")</f>
        <v/>
      </c>
    </row>
    <row r="244">
      <c r="A244" t="n">
        <v>243</v>
      </c>
      <c r="B244" t="n">
        <v>51</v>
      </c>
      <c r="C244" s="5" t="n">
        <v>1020</v>
      </c>
      <c r="D244" t="n">
        <v>0.0493</v>
      </c>
      <c r="E244" t="n">
        <v>79</v>
      </c>
      <c r="F244" s="5" t="n">
        <v>10200</v>
      </c>
      <c r="G244">
        <f>MIN(65-B244, MAX(0, E244-B244))</f>
        <v/>
      </c>
      <c r="H244">
        <f>B244+G244</f>
        <v/>
      </c>
      <c r="I244" s="5">
        <f>F244*(1+D244)^G244</f>
        <v/>
      </c>
      <c r="J244">
        <f>(1+D244)/(1+Parameters!$B$5)</f>
        <v/>
      </c>
      <c r="K244" s="5">
        <f>IF(G244&gt;0, IF(ROUND(J244, 6)=1, G244 * C244 * (1+Parameters!$B$5)^-0.5, C244 * (1-J244^G244)/(1-J244) * (1+Parameters!$B$5)^-0.5), 0)</f>
        <v/>
      </c>
      <c r="L244" s="5">
        <f>K244*(1-Parameters!$B$4)</f>
        <v/>
      </c>
      <c r="M244" s="5">
        <f>L244*(1+Parameters!$B$5)^G244</f>
        <v/>
      </c>
      <c r="N244" s="5">
        <f>IF(E244&gt;=65, (65-B244)*I244/Parameters!$B$6, 0)</f>
        <v/>
      </c>
      <c r="O244">
        <f>IF(E244&gt;65, (1-(1+Parameters!$B$5)^-(E244-65))/Parameters!$B$5, 0)</f>
        <v/>
      </c>
      <c r="P244" s="5">
        <f>N244 * O244 * (1+Parameters!$B$5)^-(65-B244)</f>
        <v/>
      </c>
      <c r="Q244" s="5">
        <f>IF(AND(E244&gt;=66, E244&lt;=69), 5*N244*(1+Parameters!$B$5)^-(E244-B244), 0)</f>
        <v/>
      </c>
      <c r="R244" s="5">
        <f>IF(E244&lt;=65, L244, 0)</f>
        <v/>
      </c>
      <c r="S244" s="5">
        <f>N244 * (Parameters!$B$6 / Parameters!$B$9)</f>
        <v/>
      </c>
      <c r="T244" s="5">
        <f>P244 + Q244</f>
        <v/>
      </c>
      <c r="U244">
        <f>IF(E244&gt;65, (1-((1+Parameters!$B$10)/(1+Parameters!$B$5))^(E244-65))/(((1+Parameters!$B$5)/(1+Parameters!$B$10))-1), 0)</f>
        <v/>
      </c>
      <c r="V244" s="5">
        <f>S244 * U244 * (1+Parameters!$B$5)^-(65-B244)</f>
        <v/>
      </c>
      <c r="W244" s="5">
        <f>IF(AND(E244&gt;=66, E244&lt;=69), 5*S244*(1+Parameters!$B$5)^-(E244-B244), 0)</f>
        <v/>
      </c>
      <c r="X244" s="5">
        <f>V244 + W244 + R244</f>
        <v/>
      </c>
      <c r="Y244" s="5">
        <f>IF(E244&gt;=65, M244/S244, "")</f>
        <v/>
      </c>
    </row>
    <row r="245">
      <c r="A245" t="n">
        <v>244</v>
      </c>
      <c r="B245" t="n">
        <v>41</v>
      </c>
      <c r="C245" s="5" t="n">
        <v>6830</v>
      </c>
      <c r="D245" t="n">
        <v>0.026</v>
      </c>
      <c r="E245" t="n">
        <v>77</v>
      </c>
      <c r="F245" s="5" t="n">
        <v>68300</v>
      </c>
      <c r="G245">
        <f>MIN(65-B245, MAX(0, E245-B245))</f>
        <v/>
      </c>
      <c r="H245">
        <f>B245+G245</f>
        <v/>
      </c>
      <c r="I245" s="5">
        <f>F245*(1+D245)^G245</f>
        <v/>
      </c>
      <c r="J245">
        <f>(1+D245)/(1+Parameters!$B$5)</f>
        <v/>
      </c>
      <c r="K245" s="5">
        <f>IF(G245&gt;0, IF(ROUND(J245, 6)=1, G245 * C245 * (1+Parameters!$B$5)^-0.5, C245 * (1-J245^G245)/(1-J245) * (1+Parameters!$B$5)^-0.5), 0)</f>
        <v/>
      </c>
      <c r="L245" s="5">
        <f>K245*(1-Parameters!$B$4)</f>
        <v/>
      </c>
      <c r="M245" s="5">
        <f>L245*(1+Parameters!$B$5)^G245</f>
        <v/>
      </c>
      <c r="N245" s="5">
        <f>IF(E245&gt;=65, (65-B245)*I245/Parameters!$B$6, 0)</f>
        <v/>
      </c>
      <c r="O245">
        <f>IF(E245&gt;65, (1-(1+Parameters!$B$5)^-(E245-65))/Parameters!$B$5, 0)</f>
        <v/>
      </c>
      <c r="P245" s="5">
        <f>N245 * O245 * (1+Parameters!$B$5)^-(65-B245)</f>
        <v/>
      </c>
      <c r="Q245" s="5">
        <f>IF(AND(E245&gt;=66, E245&lt;=69), 5*N245*(1+Parameters!$B$5)^-(E245-B245), 0)</f>
        <v/>
      </c>
      <c r="R245" s="5">
        <f>IF(E245&lt;=65, L245, 0)</f>
        <v/>
      </c>
      <c r="S245" s="5">
        <f>N245 * (Parameters!$B$6 / Parameters!$B$9)</f>
        <v/>
      </c>
      <c r="T245" s="5">
        <f>P245 + Q245</f>
        <v/>
      </c>
      <c r="U245">
        <f>IF(E245&gt;65, (1-((1+Parameters!$B$10)/(1+Parameters!$B$5))^(E245-65))/(((1+Parameters!$B$5)/(1+Parameters!$B$10))-1), 0)</f>
        <v/>
      </c>
      <c r="V245" s="5">
        <f>S245 * U245 * (1+Parameters!$B$5)^-(65-B245)</f>
        <v/>
      </c>
      <c r="W245" s="5">
        <f>IF(AND(E245&gt;=66, E245&lt;=69), 5*S245*(1+Parameters!$B$5)^-(E245-B245), 0)</f>
        <v/>
      </c>
      <c r="X245" s="5">
        <f>V245 + W245 + R245</f>
        <v/>
      </c>
      <c r="Y245" s="5">
        <f>IF(E245&gt;=65, M245/S245, "")</f>
        <v/>
      </c>
    </row>
    <row r="246">
      <c r="A246" t="n">
        <v>245</v>
      </c>
      <c r="B246" t="n">
        <v>40</v>
      </c>
      <c r="C246" s="5" t="n">
        <v>7020</v>
      </c>
      <c r="D246" t="n">
        <v>0.0369</v>
      </c>
      <c r="E246" t="n">
        <v>96</v>
      </c>
      <c r="F246" s="5" t="n">
        <v>70200</v>
      </c>
      <c r="G246">
        <f>MIN(65-B246, MAX(0, E246-B246))</f>
        <v/>
      </c>
      <c r="H246">
        <f>B246+G246</f>
        <v/>
      </c>
      <c r="I246" s="5">
        <f>F246*(1+D246)^G246</f>
        <v/>
      </c>
      <c r="J246">
        <f>(1+D246)/(1+Parameters!$B$5)</f>
        <v/>
      </c>
      <c r="K246" s="5">
        <f>IF(G246&gt;0, IF(ROUND(J246, 6)=1, G246 * C246 * (1+Parameters!$B$5)^-0.5, C246 * (1-J246^G246)/(1-J246) * (1+Parameters!$B$5)^-0.5), 0)</f>
        <v/>
      </c>
      <c r="L246" s="5">
        <f>K246*(1-Parameters!$B$4)</f>
        <v/>
      </c>
      <c r="M246" s="5">
        <f>L246*(1+Parameters!$B$5)^G246</f>
        <v/>
      </c>
      <c r="N246" s="5">
        <f>IF(E246&gt;=65, (65-B246)*I246/Parameters!$B$6, 0)</f>
        <v/>
      </c>
      <c r="O246">
        <f>IF(E246&gt;65, (1-(1+Parameters!$B$5)^-(E246-65))/Parameters!$B$5, 0)</f>
        <v/>
      </c>
      <c r="P246" s="5">
        <f>N246 * O246 * (1+Parameters!$B$5)^-(65-B246)</f>
        <v/>
      </c>
      <c r="Q246" s="5">
        <f>IF(AND(E246&gt;=66, E246&lt;=69), 5*N246*(1+Parameters!$B$5)^-(E246-B246), 0)</f>
        <v/>
      </c>
      <c r="R246" s="5">
        <f>IF(E246&lt;=65, L246, 0)</f>
        <v/>
      </c>
      <c r="S246" s="5">
        <f>N246 * (Parameters!$B$6 / Parameters!$B$9)</f>
        <v/>
      </c>
      <c r="T246" s="5">
        <f>P246 + Q246</f>
        <v/>
      </c>
      <c r="U246">
        <f>IF(E246&gt;65, (1-((1+Parameters!$B$10)/(1+Parameters!$B$5))^(E246-65))/(((1+Parameters!$B$5)/(1+Parameters!$B$10))-1), 0)</f>
        <v/>
      </c>
      <c r="V246" s="5">
        <f>S246 * U246 * (1+Parameters!$B$5)^-(65-B246)</f>
        <v/>
      </c>
      <c r="W246" s="5">
        <f>IF(AND(E246&gt;=66, E246&lt;=69), 5*S246*(1+Parameters!$B$5)^-(E246-B246), 0)</f>
        <v/>
      </c>
      <c r="X246" s="5">
        <f>V246 + W246 + R246</f>
        <v/>
      </c>
      <c r="Y246" s="5">
        <f>IF(E246&gt;=65, M246/S246, "")</f>
        <v/>
      </c>
    </row>
    <row r="247">
      <c r="A247" t="n">
        <v>246</v>
      </c>
      <c r="B247" t="n">
        <v>42</v>
      </c>
      <c r="C247" s="5" t="n">
        <v>2410</v>
      </c>
      <c r="D247" t="n">
        <v>0.0164</v>
      </c>
      <c r="E247" t="n">
        <v>75</v>
      </c>
      <c r="F247" s="5" t="n">
        <v>24100</v>
      </c>
      <c r="G247">
        <f>MIN(65-B247, MAX(0, E247-B247))</f>
        <v/>
      </c>
      <c r="H247">
        <f>B247+G247</f>
        <v/>
      </c>
      <c r="I247" s="5">
        <f>F247*(1+D247)^G247</f>
        <v/>
      </c>
      <c r="J247">
        <f>(1+D247)/(1+Parameters!$B$5)</f>
        <v/>
      </c>
      <c r="K247" s="5">
        <f>IF(G247&gt;0, IF(ROUND(J247, 6)=1, G247 * C247 * (1+Parameters!$B$5)^-0.5, C247 * (1-J247^G247)/(1-J247) * (1+Parameters!$B$5)^-0.5), 0)</f>
        <v/>
      </c>
      <c r="L247" s="5">
        <f>K247*(1-Parameters!$B$4)</f>
        <v/>
      </c>
      <c r="M247" s="5">
        <f>L247*(1+Parameters!$B$5)^G247</f>
        <v/>
      </c>
      <c r="N247" s="5">
        <f>IF(E247&gt;=65, (65-B247)*I247/Parameters!$B$6, 0)</f>
        <v/>
      </c>
      <c r="O247">
        <f>IF(E247&gt;65, (1-(1+Parameters!$B$5)^-(E247-65))/Parameters!$B$5, 0)</f>
        <v/>
      </c>
      <c r="P247" s="5">
        <f>N247 * O247 * (1+Parameters!$B$5)^-(65-B247)</f>
        <v/>
      </c>
      <c r="Q247" s="5">
        <f>IF(AND(E247&gt;=66, E247&lt;=69), 5*N247*(1+Parameters!$B$5)^-(E247-B247), 0)</f>
        <v/>
      </c>
      <c r="R247" s="5">
        <f>IF(E247&lt;=65, L247, 0)</f>
        <v/>
      </c>
      <c r="S247" s="5">
        <f>N247 * (Parameters!$B$6 / Parameters!$B$9)</f>
        <v/>
      </c>
      <c r="T247" s="5">
        <f>P247 + Q247</f>
        <v/>
      </c>
      <c r="U247">
        <f>IF(E247&gt;65, (1-((1+Parameters!$B$10)/(1+Parameters!$B$5))^(E247-65))/(((1+Parameters!$B$5)/(1+Parameters!$B$10))-1), 0)</f>
        <v/>
      </c>
      <c r="V247" s="5">
        <f>S247 * U247 * (1+Parameters!$B$5)^-(65-B247)</f>
        <v/>
      </c>
      <c r="W247" s="5">
        <f>IF(AND(E247&gt;=66, E247&lt;=69), 5*S247*(1+Parameters!$B$5)^-(E247-B247), 0)</f>
        <v/>
      </c>
      <c r="X247" s="5">
        <f>V247 + W247 + R247</f>
        <v/>
      </c>
      <c r="Y247" s="5">
        <f>IF(E247&gt;=65, M247/S247, "")</f>
        <v/>
      </c>
    </row>
    <row r="248">
      <c r="A248" t="n">
        <v>247</v>
      </c>
      <c r="B248" t="n">
        <v>42</v>
      </c>
      <c r="C248" s="5" t="n">
        <v>2760</v>
      </c>
      <c r="D248" t="n">
        <v>0.0239</v>
      </c>
      <c r="E248" t="n">
        <v>81</v>
      </c>
      <c r="F248" s="5" t="n">
        <v>27600</v>
      </c>
      <c r="G248">
        <f>MIN(65-B248, MAX(0, E248-B248))</f>
        <v/>
      </c>
      <c r="H248">
        <f>B248+G248</f>
        <v/>
      </c>
      <c r="I248" s="5">
        <f>F248*(1+D248)^G248</f>
        <v/>
      </c>
      <c r="J248">
        <f>(1+D248)/(1+Parameters!$B$5)</f>
        <v/>
      </c>
      <c r="K248" s="5">
        <f>IF(G248&gt;0, IF(ROUND(J248, 6)=1, G248 * C248 * (1+Parameters!$B$5)^-0.5, C248 * (1-J248^G248)/(1-J248) * (1+Parameters!$B$5)^-0.5), 0)</f>
        <v/>
      </c>
      <c r="L248" s="5">
        <f>K248*(1-Parameters!$B$4)</f>
        <v/>
      </c>
      <c r="M248" s="5">
        <f>L248*(1+Parameters!$B$5)^G248</f>
        <v/>
      </c>
      <c r="N248" s="5">
        <f>IF(E248&gt;=65, (65-B248)*I248/Parameters!$B$6, 0)</f>
        <v/>
      </c>
      <c r="O248">
        <f>IF(E248&gt;65, (1-(1+Parameters!$B$5)^-(E248-65))/Parameters!$B$5, 0)</f>
        <v/>
      </c>
      <c r="P248" s="5">
        <f>N248 * O248 * (1+Parameters!$B$5)^-(65-B248)</f>
        <v/>
      </c>
      <c r="Q248" s="5">
        <f>IF(AND(E248&gt;=66, E248&lt;=69), 5*N248*(1+Parameters!$B$5)^-(E248-B248), 0)</f>
        <v/>
      </c>
      <c r="R248" s="5">
        <f>IF(E248&lt;=65, L248, 0)</f>
        <v/>
      </c>
      <c r="S248" s="5">
        <f>N248 * (Parameters!$B$6 / Parameters!$B$9)</f>
        <v/>
      </c>
      <c r="T248" s="5">
        <f>P248 + Q248</f>
        <v/>
      </c>
      <c r="U248">
        <f>IF(E248&gt;65, (1-((1+Parameters!$B$10)/(1+Parameters!$B$5))^(E248-65))/(((1+Parameters!$B$5)/(1+Parameters!$B$10))-1), 0)</f>
        <v/>
      </c>
      <c r="V248" s="5">
        <f>S248 * U248 * (1+Parameters!$B$5)^-(65-B248)</f>
        <v/>
      </c>
      <c r="W248" s="5">
        <f>IF(AND(E248&gt;=66, E248&lt;=69), 5*S248*(1+Parameters!$B$5)^-(E248-B248), 0)</f>
        <v/>
      </c>
      <c r="X248" s="5">
        <f>V248 + W248 + R248</f>
        <v/>
      </c>
      <c r="Y248" s="5">
        <f>IF(E248&gt;=65, M248/S248, "")</f>
        <v/>
      </c>
    </row>
    <row r="249">
      <c r="A249" t="n">
        <v>248</v>
      </c>
      <c r="B249" t="n">
        <v>21</v>
      </c>
      <c r="C249" s="5" t="n">
        <v>2180</v>
      </c>
      <c r="D249" t="n">
        <v>0.0561</v>
      </c>
      <c r="E249" t="n">
        <v>75</v>
      </c>
      <c r="F249" s="5" t="n">
        <v>21800</v>
      </c>
      <c r="G249">
        <f>MIN(65-B249, MAX(0, E249-B249))</f>
        <v/>
      </c>
      <c r="H249">
        <f>B249+G249</f>
        <v/>
      </c>
      <c r="I249" s="5">
        <f>F249*(1+D249)^G249</f>
        <v/>
      </c>
      <c r="J249">
        <f>(1+D249)/(1+Parameters!$B$5)</f>
        <v/>
      </c>
      <c r="K249" s="5">
        <f>IF(G249&gt;0, IF(ROUND(J249, 6)=1, G249 * C249 * (1+Parameters!$B$5)^-0.5, C249 * (1-J249^G249)/(1-J249) * (1+Parameters!$B$5)^-0.5), 0)</f>
        <v/>
      </c>
      <c r="L249" s="5">
        <f>K249*(1-Parameters!$B$4)</f>
        <v/>
      </c>
      <c r="M249" s="5">
        <f>L249*(1+Parameters!$B$5)^G249</f>
        <v/>
      </c>
      <c r="N249" s="5">
        <f>IF(E249&gt;=65, (65-B249)*I249/Parameters!$B$6, 0)</f>
        <v/>
      </c>
      <c r="O249">
        <f>IF(E249&gt;65, (1-(1+Parameters!$B$5)^-(E249-65))/Parameters!$B$5, 0)</f>
        <v/>
      </c>
      <c r="P249" s="5">
        <f>N249 * O249 * (1+Parameters!$B$5)^-(65-B249)</f>
        <v/>
      </c>
      <c r="Q249" s="5">
        <f>IF(AND(E249&gt;=66, E249&lt;=69), 5*N249*(1+Parameters!$B$5)^-(E249-B249), 0)</f>
        <v/>
      </c>
      <c r="R249" s="5">
        <f>IF(E249&lt;=65, L249, 0)</f>
        <v/>
      </c>
      <c r="S249" s="5">
        <f>N249 * (Parameters!$B$6 / Parameters!$B$9)</f>
        <v/>
      </c>
      <c r="T249" s="5">
        <f>P249 + Q249</f>
        <v/>
      </c>
      <c r="U249">
        <f>IF(E249&gt;65, (1-((1+Parameters!$B$10)/(1+Parameters!$B$5))^(E249-65))/(((1+Parameters!$B$5)/(1+Parameters!$B$10))-1), 0)</f>
        <v/>
      </c>
      <c r="V249" s="5">
        <f>S249 * U249 * (1+Parameters!$B$5)^-(65-B249)</f>
        <v/>
      </c>
      <c r="W249" s="5">
        <f>IF(AND(E249&gt;=66, E249&lt;=69), 5*S249*(1+Parameters!$B$5)^-(E249-B249), 0)</f>
        <v/>
      </c>
      <c r="X249" s="5">
        <f>V249 + W249 + R249</f>
        <v/>
      </c>
      <c r="Y249" s="5">
        <f>IF(E249&gt;=65, M249/S249, "")</f>
        <v/>
      </c>
    </row>
    <row r="250">
      <c r="A250" t="n">
        <v>249</v>
      </c>
      <c r="B250" t="n">
        <v>39</v>
      </c>
      <c r="C250" s="5" t="n">
        <v>7990</v>
      </c>
      <c r="D250" t="n">
        <v>0.0342</v>
      </c>
      <c r="E250" t="n">
        <v>80</v>
      </c>
      <c r="F250" s="5" t="n">
        <v>79900</v>
      </c>
      <c r="G250">
        <f>MIN(65-B250, MAX(0, E250-B250))</f>
        <v/>
      </c>
      <c r="H250">
        <f>B250+G250</f>
        <v/>
      </c>
      <c r="I250" s="5">
        <f>F250*(1+D250)^G250</f>
        <v/>
      </c>
      <c r="J250">
        <f>(1+D250)/(1+Parameters!$B$5)</f>
        <v/>
      </c>
      <c r="K250" s="5">
        <f>IF(G250&gt;0, IF(ROUND(J250, 6)=1, G250 * C250 * (1+Parameters!$B$5)^-0.5, C250 * (1-J250^G250)/(1-J250) * (1+Parameters!$B$5)^-0.5), 0)</f>
        <v/>
      </c>
      <c r="L250" s="5">
        <f>K250*(1-Parameters!$B$4)</f>
        <v/>
      </c>
      <c r="M250" s="5">
        <f>L250*(1+Parameters!$B$5)^G250</f>
        <v/>
      </c>
      <c r="N250" s="5">
        <f>IF(E250&gt;=65, (65-B250)*I250/Parameters!$B$6, 0)</f>
        <v/>
      </c>
      <c r="O250">
        <f>IF(E250&gt;65, (1-(1+Parameters!$B$5)^-(E250-65))/Parameters!$B$5, 0)</f>
        <v/>
      </c>
      <c r="P250" s="5">
        <f>N250 * O250 * (1+Parameters!$B$5)^-(65-B250)</f>
        <v/>
      </c>
      <c r="Q250" s="5">
        <f>IF(AND(E250&gt;=66, E250&lt;=69), 5*N250*(1+Parameters!$B$5)^-(E250-B250), 0)</f>
        <v/>
      </c>
      <c r="R250" s="5">
        <f>IF(E250&lt;=65, L250, 0)</f>
        <v/>
      </c>
      <c r="S250" s="5">
        <f>N250 * (Parameters!$B$6 / Parameters!$B$9)</f>
        <v/>
      </c>
      <c r="T250" s="5">
        <f>P250 + Q250</f>
        <v/>
      </c>
      <c r="U250">
        <f>IF(E250&gt;65, (1-((1+Parameters!$B$10)/(1+Parameters!$B$5))^(E250-65))/(((1+Parameters!$B$5)/(1+Parameters!$B$10))-1), 0)</f>
        <v/>
      </c>
      <c r="V250" s="5">
        <f>S250 * U250 * (1+Parameters!$B$5)^-(65-B250)</f>
        <v/>
      </c>
      <c r="W250" s="5">
        <f>IF(AND(E250&gt;=66, E250&lt;=69), 5*S250*(1+Parameters!$B$5)^-(E250-B250), 0)</f>
        <v/>
      </c>
      <c r="X250" s="5">
        <f>V250 + W250 + R250</f>
        <v/>
      </c>
      <c r="Y250" s="5">
        <f>IF(E250&gt;=65, M250/S250, "")</f>
        <v/>
      </c>
    </row>
    <row r="251">
      <c r="A251" t="n">
        <v>250</v>
      </c>
      <c r="B251" t="n">
        <v>44</v>
      </c>
      <c r="C251" s="5" t="n">
        <v>3980</v>
      </c>
      <c r="D251" t="n">
        <v>0.0191</v>
      </c>
      <c r="E251" t="n">
        <v>89</v>
      </c>
      <c r="F251" s="5" t="n">
        <v>39800</v>
      </c>
      <c r="G251">
        <f>MIN(65-B251, MAX(0, E251-B251))</f>
        <v/>
      </c>
      <c r="H251">
        <f>B251+G251</f>
        <v/>
      </c>
      <c r="I251" s="5">
        <f>F251*(1+D251)^G251</f>
        <v/>
      </c>
      <c r="J251">
        <f>(1+D251)/(1+Parameters!$B$5)</f>
        <v/>
      </c>
      <c r="K251" s="5">
        <f>IF(G251&gt;0, IF(ROUND(J251, 6)=1, G251 * C251 * (1+Parameters!$B$5)^-0.5, C251 * (1-J251^G251)/(1-J251) * (1+Parameters!$B$5)^-0.5), 0)</f>
        <v/>
      </c>
      <c r="L251" s="5">
        <f>K251*(1-Parameters!$B$4)</f>
        <v/>
      </c>
      <c r="M251" s="5">
        <f>L251*(1+Parameters!$B$5)^G251</f>
        <v/>
      </c>
      <c r="N251" s="5">
        <f>IF(E251&gt;=65, (65-B251)*I251/Parameters!$B$6, 0)</f>
        <v/>
      </c>
      <c r="O251">
        <f>IF(E251&gt;65, (1-(1+Parameters!$B$5)^-(E251-65))/Parameters!$B$5, 0)</f>
        <v/>
      </c>
      <c r="P251" s="5">
        <f>N251 * O251 * (1+Parameters!$B$5)^-(65-B251)</f>
        <v/>
      </c>
      <c r="Q251" s="5">
        <f>IF(AND(E251&gt;=66, E251&lt;=69), 5*N251*(1+Parameters!$B$5)^-(E251-B251), 0)</f>
        <v/>
      </c>
      <c r="R251" s="5">
        <f>IF(E251&lt;=65, L251, 0)</f>
        <v/>
      </c>
      <c r="S251" s="5">
        <f>N251 * (Parameters!$B$6 / Parameters!$B$9)</f>
        <v/>
      </c>
      <c r="T251" s="5">
        <f>P251 + Q251</f>
        <v/>
      </c>
      <c r="U251">
        <f>IF(E251&gt;65, (1-((1+Parameters!$B$10)/(1+Parameters!$B$5))^(E251-65))/(((1+Parameters!$B$5)/(1+Parameters!$B$10))-1), 0)</f>
        <v/>
      </c>
      <c r="V251" s="5">
        <f>S251 * U251 * (1+Parameters!$B$5)^-(65-B251)</f>
        <v/>
      </c>
      <c r="W251" s="5">
        <f>IF(AND(E251&gt;=66, E251&lt;=69), 5*S251*(1+Parameters!$B$5)^-(E251-B251), 0)</f>
        <v/>
      </c>
      <c r="X251" s="5">
        <f>V251 + W251 + R251</f>
        <v/>
      </c>
      <c r="Y251" s="5">
        <f>IF(E251&gt;=65, M251/S251,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  <c r="C1" s="1" t="inlineStr">
        <is>
          <t>Avg Contrib</t>
        </is>
      </c>
      <c r="D1" s="1" t="inlineStr">
        <is>
          <t>Min Contrib</t>
        </is>
      </c>
      <c r="E1" s="1" t="inlineStr">
        <is>
          <t>Max Contrib</t>
        </is>
      </c>
      <c r="F1" s="1" t="inlineStr">
        <is>
          <t>Avg Sal Incr</t>
        </is>
      </c>
      <c r="G1" s="1" t="inlineStr">
        <is>
          <t>Min Sal Incr</t>
        </is>
      </c>
      <c r="H1" s="1" t="inlineStr">
        <is>
          <t>Max Sal Incr</t>
        </is>
      </c>
      <c r="I1" s="1" t="inlineStr">
        <is>
          <t>Avg Death Age</t>
        </is>
      </c>
      <c r="J1" s="1" t="inlineStr">
        <is>
          <t>Min Death Age</t>
        </is>
      </c>
      <c r="K1" s="1" t="inlineStr">
        <is>
          <t>Max Death Age</t>
        </is>
      </c>
      <c r="L1" s="1" t="inlineStr">
        <is>
          <t>Avg Annuity Factor</t>
        </is>
      </c>
      <c r="M1" s="1" t="inlineStr">
        <is>
          <t>Min Annuity Factor</t>
        </is>
      </c>
      <c r="N1" s="1" t="inlineStr">
        <is>
          <t>Max Annuity Factor</t>
        </is>
      </c>
    </row>
    <row r="2">
      <c r="A2" t="n">
        <v>18</v>
      </c>
      <c r="B2">
        <f>COUNTIFS(Calculations!$B:$B, A2)</f>
        <v/>
      </c>
      <c r="C2">
        <f>IF(B2&gt;0, AVERAGEIFS(Calculations!$C:$C, Calculations!$B:$B, A2), "")</f>
        <v/>
      </c>
      <c r="D2">
        <f>IF(B2&gt;0, MINIFS(Calculations!$C:$C, Calculations!$B:$B, A2), "")</f>
        <v/>
      </c>
      <c r="E2">
        <f>IF(B2&gt;0, MAXIFS(Calculations!$C:$C, Calculations!$B:$B, A2), "")</f>
        <v/>
      </c>
      <c r="F2">
        <f>IF(B2&gt;0, AVERAGEIFS(Calculations!$D:$D, Calculations!$B:$B, A2), "")</f>
        <v/>
      </c>
      <c r="G2">
        <f>IF(B2&gt;0, MINIFS(Calculations!$D:$D, Calculations!$B:$B, A2), "")</f>
        <v/>
      </c>
      <c r="H2">
        <f>IF(B2&gt;0, MAXIFS(Calculations!$D:$D, Calculations!$B:$B, A2), "")</f>
        <v/>
      </c>
      <c r="I2">
        <f>IF(B2&gt;0, AVERAGEIFS(Calculations!$E:$E, Calculations!$B:$B, A2), "")</f>
        <v/>
      </c>
      <c r="J2">
        <f>IF(B2&gt;0, MINIFS(Calculations!$E:$E, Calculations!$B:$B, A2), "")</f>
        <v/>
      </c>
      <c r="K2">
        <f>IF(B2&gt;0, MAXIFS(Calculations!$E:$E, Calculations!$B:$B, A2), "")</f>
        <v/>
      </c>
      <c r="L2">
        <f>IF(COUNTIFS(Calculations!$B:$B, A2, Calculations!$E:$E, "&gt;=65")&gt;0, AVERAGEIFS(Calculations!$Y:$Y, Calculations!$B:$B, A2, Calculations!$E:$E, "&gt;=65"), "")</f>
        <v/>
      </c>
      <c r="M2">
        <f>IF(COUNTIFS(Calculations!$B:$B, A2, Calculations!$E:$E, "&gt;=65")&gt;0, MINIFS(Calculations!$Y:$Y, Calculations!$B:$B, A2, Calculations!$E:$E, "&gt;=65"), "")</f>
        <v/>
      </c>
      <c r="N2">
        <f>IF(COUNTIFS(Calculations!$B:$B, A2, Calculations!$E:$E, "&gt;=65")&gt;0, MAXIFS(Calculations!$Y:$Y, Calculations!$B:$B, A2, Calculations!$E:$E, "&gt;=65"), "")</f>
        <v/>
      </c>
    </row>
    <row r="3">
      <c r="A3" t="n">
        <v>19</v>
      </c>
      <c r="B3">
        <f>COUNTIFS(Calculations!$B:$B, A3)</f>
        <v/>
      </c>
      <c r="C3">
        <f>IF(B3&gt;0, AVERAGEIFS(Calculations!$C:$C, Calculations!$B:$B, A3), "")</f>
        <v/>
      </c>
      <c r="D3">
        <f>IF(B3&gt;0, MINIFS(Calculations!$C:$C, Calculations!$B:$B, A3), "")</f>
        <v/>
      </c>
      <c r="E3">
        <f>IF(B3&gt;0, MAXIFS(Calculations!$C:$C, Calculations!$B:$B, A3), "")</f>
        <v/>
      </c>
      <c r="F3">
        <f>IF(B3&gt;0, AVERAGEIFS(Calculations!$D:$D, Calculations!$B:$B, A3), "")</f>
        <v/>
      </c>
      <c r="G3">
        <f>IF(B3&gt;0, MINIFS(Calculations!$D:$D, Calculations!$B:$B, A3), "")</f>
        <v/>
      </c>
      <c r="H3">
        <f>IF(B3&gt;0, MAXIFS(Calculations!$D:$D, Calculations!$B:$B, A3), "")</f>
        <v/>
      </c>
      <c r="I3">
        <f>IF(B3&gt;0, AVERAGEIFS(Calculations!$E:$E, Calculations!$B:$B, A3), "")</f>
        <v/>
      </c>
      <c r="J3">
        <f>IF(B3&gt;0, MINIFS(Calculations!$E:$E, Calculations!$B:$B, A3), "")</f>
        <v/>
      </c>
      <c r="K3">
        <f>IF(B3&gt;0, MAXIFS(Calculations!$E:$E, Calculations!$B:$B, A3), "")</f>
        <v/>
      </c>
      <c r="L3">
        <f>IF(COUNTIFS(Calculations!$B:$B, A3, Calculations!$E:$E, "&gt;=65")&gt;0, AVERAGEIFS(Calculations!$Y:$Y, Calculations!$B:$B, A3, Calculations!$E:$E, "&gt;=65"), "")</f>
        <v/>
      </c>
      <c r="M3">
        <f>IF(COUNTIFS(Calculations!$B:$B, A3, Calculations!$E:$E, "&gt;=65")&gt;0, MINIFS(Calculations!$Y:$Y, Calculations!$B:$B, A3, Calculations!$E:$E, "&gt;=65"), "")</f>
        <v/>
      </c>
      <c r="N3">
        <f>IF(COUNTIFS(Calculations!$B:$B, A3, Calculations!$E:$E, "&gt;=65")&gt;0, MAXIFS(Calculations!$Y:$Y, Calculations!$B:$B, A3, Calculations!$E:$E, "&gt;=65"), "")</f>
        <v/>
      </c>
    </row>
    <row r="4">
      <c r="A4" t="n">
        <v>20</v>
      </c>
      <c r="B4">
        <f>COUNTIFS(Calculations!$B:$B, A4)</f>
        <v/>
      </c>
      <c r="C4">
        <f>IF(B4&gt;0, AVERAGEIFS(Calculations!$C:$C, Calculations!$B:$B, A4), "")</f>
        <v/>
      </c>
      <c r="D4">
        <f>IF(B4&gt;0, MINIFS(Calculations!$C:$C, Calculations!$B:$B, A4), "")</f>
        <v/>
      </c>
      <c r="E4">
        <f>IF(B4&gt;0, MAXIFS(Calculations!$C:$C, Calculations!$B:$B, A4), "")</f>
        <v/>
      </c>
      <c r="F4">
        <f>IF(B4&gt;0, AVERAGEIFS(Calculations!$D:$D, Calculations!$B:$B, A4), "")</f>
        <v/>
      </c>
      <c r="G4">
        <f>IF(B4&gt;0, MINIFS(Calculations!$D:$D, Calculations!$B:$B, A4), "")</f>
        <v/>
      </c>
      <c r="H4">
        <f>IF(B4&gt;0, MAXIFS(Calculations!$D:$D, Calculations!$B:$B, A4), "")</f>
        <v/>
      </c>
      <c r="I4">
        <f>IF(B4&gt;0, AVERAGEIFS(Calculations!$E:$E, Calculations!$B:$B, A4), "")</f>
        <v/>
      </c>
      <c r="J4">
        <f>IF(B4&gt;0, MINIFS(Calculations!$E:$E, Calculations!$B:$B, A4), "")</f>
        <v/>
      </c>
      <c r="K4">
        <f>IF(B4&gt;0, MAXIFS(Calculations!$E:$E, Calculations!$B:$B, A4), "")</f>
        <v/>
      </c>
      <c r="L4">
        <f>IF(COUNTIFS(Calculations!$B:$B, A4, Calculations!$E:$E, "&gt;=65")&gt;0, AVERAGEIFS(Calculations!$Y:$Y, Calculations!$B:$B, A4, Calculations!$E:$E, "&gt;=65"), "")</f>
        <v/>
      </c>
      <c r="M4">
        <f>IF(COUNTIFS(Calculations!$B:$B, A4, Calculations!$E:$E, "&gt;=65")&gt;0, MINIFS(Calculations!$Y:$Y, Calculations!$B:$B, A4, Calculations!$E:$E, "&gt;=65"), "")</f>
        <v/>
      </c>
      <c r="N4">
        <f>IF(COUNTIFS(Calculations!$B:$B, A4, Calculations!$E:$E, "&gt;=65")&gt;0, MAXIFS(Calculations!$Y:$Y, Calculations!$B:$B, A4, Calculations!$E:$E, "&gt;=65"), "")</f>
        <v/>
      </c>
    </row>
    <row r="5">
      <c r="A5" t="n">
        <v>21</v>
      </c>
      <c r="B5">
        <f>COUNTIFS(Calculations!$B:$B, A5)</f>
        <v/>
      </c>
      <c r="C5">
        <f>IF(B5&gt;0, AVERAGEIFS(Calculations!$C:$C, Calculations!$B:$B, A5), "")</f>
        <v/>
      </c>
      <c r="D5">
        <f>IF(B5&gt;0, MINIFS(Calculations!$C:$C, Calculations!$B:$B, A5), "")</f>
        <v/>
      </c>
      <c r="E5">
        <f>IF(B5&gt;0, MAXIFS(Calculations!$C:$C, Calculations!$B:$B, A5), "")</f>
        <v/>
      </c>
      <c r="F5">
        <f>IF(B5&gt;0, AVERAGEIFS(Calculations!$D:$D, Calculations!$B:$B, A5), "")</f>
        <v/>
      </c>
      <c r="G5">
        <f>IF(B5&gt;0, MINIFS(Calculations!$D:$D, Calculations!$B:$B, A5), "")</f>
        <v/>
      </c>
      <c r="H5">
        <f>IF(B5&gt;0, MAXIFS(Calculations!$D:$D, Calculations!$B:$B, A5), "")</f>
        <v/>
      </c>
      <c r="I5">
        <f>IF(B5&gt;0, AVERAGEIFS(Calculations!$E:$E, Calculations!$B:$B, A5), "")</f>
        <v/>
      </c>
      <c r="J5">
        <f>IF(B5&gt;0, MINIFS(Calculations!$E:$E, Calculations!$B:$B, A5), "")</f>
        <v/>
      </c>
      <c r="K5">
        <f>IF(B5&gt;0, MAXIFS(Calculations!$E:$E, Calculations!$B:$B, A5), "")</f>
        <v/>
      </c>
      <c r="L5">
        <f>IF(COUNTIFS(Calculations!$B:$B, A5, Calculations!$E:$E, "&gt;=65")&gt;0, AVERAGEIFS(Calculations!$Y:$Y, Calculations!$B:$B, A5, Calculations!$E:$E, "&gt;=65"), "")</f>
        <v/>
      </c>
      <c r="M5">
        <f>IF(COUNTIFS(Calculations!$B:$B, A5, Calculations!$E:$E, "&gt;=65")&gt;0, MINIFS(Calculations!$Y:$Y, Calculations!$B:$B, A5, Calculations!$E:$E, "&gt;=65"), "")</f>
        <v/>
      </c>
      <c r="N5">
        <f>IF(COUNTIFS(Calculations!$B:$B, A5, Calculations!$E:$E, "&gt;=65")&gt;0, MAXIFS(Calculations!$Y:$Y, Calculations!$B:$B, A5, Calculations!$E:$E, "&gt;=65"), "")</f>
        <v/>
      </c>
    </row>
    <row r="6">
      <c r="A6" t="n">
        <v>22</v>
      </c>
      <c r="B6">
        <f>COUNTIFS(Calculations!$B:$B, A6)</f>
        <v/>
      </c>
      <c r="C6">
        <f>IF(B6&gt;0, AVERAGEIFS(Calculations!$C:$C, Calculations!$B:$B, A6), "")</f>
        <v/>
      </c>
      <c r="D6">
        <f>IF(B6&gt;0, MINIFS(Calculations!$C:$C, Calculations!$B:$B, A6), "")</f>
        <v/>
      </c>
      <c r="E6">
        <f>IF(B6&gt;0, MAXIFS(Calculations!$C:$C, Calculations!$B:$B, A6), "")</f>
        <v/>
      </c>
      <c r="F6">
        <f>IF(B6&gt;0, AVERAGEIFS(Calculations!$D:$D, Calculations!$B:$B, A6), "")</f>
        <v/>
      </c>
      <c r="G6">
        <f>IF(B6&gt;0, MINIFS(Calculations!$D:$D, Calculations!$B:$B, A6), "")</f>
        <v/>
      </c>
      <c r="H6">
        <f>IF(B6&gt;0, MAXIFS(Calculations!$D:$D, Calculations!$B:$B, A6), "")</f>
        <v/>
      </c>
      <c r="I6">
        <f>IF(B6&gt;0, AVERAGEIFS(Calculations!$E:$E, Calculations!$B:$B, A6), "")</f>
        <v/>
      </c>
      <c r="J6">
        <f>IF(B6&gt;0, MINIFS(Calculations!$E:$E, Calculations!$B:$B, A6), "")</f>
        <v/>
      </c>
      <c r="K6">
        <f>IF(B6&gt;0, MAXIFS(Calculations!$E:$E, Calculations!$B:$B, A6), "")</f>
        <v/>
      </c>
      <c r="L6">
        <f>IF(COUNTIFS(Calculations!$B:$B, A6, Calculations!$E:$E, "&gt;=65")&gt;0, AVERAGEIFS(Calculations!$Y:$Y, Calculations!$B:$B, A6, Calculations!$E:$E, "&gt;=65"), "")</f>
        <v/>
      </c>
      <c r="M6">
        <f>IF(COUNTIFS(Calculations!$B:$B, A6, Calculations!$E:$E, "&gt;=65")&gt;0, MINIFS(Calculations!$Y:$Y, Calculations!$B:$B, A6, Calculations!$E:$E, "&gt;=65"), "")</f>
        <v/>
      </c>
      <c r="N6">
        <f>IF(COUNTIFS(Calculations!$B:$B, A6, Calculations!$E:$E, "&gt;=65")&gt;0, MAXIFS(Calculations!$Y:$Y, Calculations!$B:$B, A6, Calculations!$E:$E, "&gt;=65"), "")</f>
        <v/>
      </c>
    </row>
    <row r="7">
      <c r="A7" t="n">
        <v>23</v>
      </c>
      <c r="B7">
        <f>COUNTIFS(Calculations!$B:$B, A7)</f>
        <v/>
      </c>
      <c r="C7">
        <f>IF(B7&gt;0, AVERAGEIFS(Calculations!$C:$C, Calculations!$B:$B, A7), "")</f>
        <v/>
      </c>
      <c r="D7">
        <f>IF(B7&gt;0, MINIFS(Calculations!$C:$C, Calculations!$B:$B, A7), "")</f>
        <v/>
      </c>
      <c r="E7">
        <f>IF(B7&gt;0, MAXIFS(Calculations!$C:$C, Calculations!$B:$B, A7), "")</f>
        <v/>
      </c>
      <c r="F7">
        <f>IF(B7&gt;0, AVERAGEIFS(Calculations!$D:$D, Calculations!$B:$B, A7), "")</f>
        <v/>
      </c>
      <c r="G7">
        <f>IF(B7&gt;0, MINIFS(Calculations!$D:$D, Calculations!$B:$B, A7), "")</f>
        <v/>
      </c>
      <c r="H7">
        <f>IF(B7&gt;0, MAXIFS(Calculations!$D:$D, Calculations!$B:$B, A7), "")</f>
        <v/>
      </c>
      <c r="I7">
        <f>IF(B7&gt;0, AVERAGEIFS(Calculations!$E:$E, Calculations!$B:$B, A7), "")</f>
        <v/>
      </c>
      <c r="J7">
        <f>IF(B7&gt;0, MINIFS(Calculations!$E:$E, Calculations!$B:$B, A7), "")</f>
        <v/>
      </c>
      <c r="K7">
        <f>IF(B7&gt;0, MAXIFS(Calculations!$E:$E, Calculations!$B:$B, A7), "")</f>
        <v/>
      </c>
      <c r="L7">
        <f>IF(COUNTIFS(Calculations!$B:$B, A7, Calculations!$E:$E, "&gt;=65")&gt;0, AVERAGEIFS(Calculations!$Y:$Y, Calculations!$B:$B, A7, Calculations!$E:$E, "&gt;=65"), "")</f>
        <v/>
      </c>
      <c r="M7">
        <f>IF(COUNTIFS(Calculations!$B:$B, A7, Calculations!$E:$E, "&gt;=65")&gt;0, MINIFS(Calculations!$Y:$Y, Calculations!$B:$B, A7, Calculations!$E:$E, "&gt;=65"), "")</f>
        <v/>
      </c>
      <c r="N7">
        <f>IF(COUNTIFS(Calculations!$B:$B, A7, Calculations!$E:$E, "&gt;=65")&gt;0, MAXIFS(Calculations!$Y:$Y, Calculations!$B:$B, A7, Calculations!$E:$E, "&gt;=65"), "")</f>
        <v/>
      </c>
    </row>
    <row r="8">
      <c r="A8" t="n">
        <v>24</v>
      </c>
      <c r="B8">
        <f>COUNTIFS(Calculations!$B:$B, A8)</f>
        <v/>
      </c>
      <c r="C8">
        <f>IF(B8&gt;0, AVERAGEIFS(Calculations!$C:$C, Calculations!$B:$B, A8), "")</f>
        <v/>
      </c>
      <c r="D8">
        <f>IF(B8&gt;0, MINIFS(Calculations!$C:$C, Calculations!$B:$B, A8), "")</f>
        <v/>
      </c>
      <c r="E8">
        <f>IF(B8&gt;0, MAXIFS(Calculations!$C:$C, Calculations!$B:$B, A8), "")</f>
        <v/>
      </c>
      <c r="F8">
        <f>IF(B8&gt;0, AVERAGEIFS(Calculations!$D:$D, Calculations!$B:$B, A8), "")</f>
        <v/>
      </c>
      <c r="G8">
        <f>IF(B8&gt;0, MINIFS(Calculations!$D:$D, Calculations!$B:$B, A8), "")</f>
        <v/>
      </c>
      <c r="H8">
        <f>IF(B8&gt;0, MAXIFS(Calculations!$D:$D, Calculations!$B:$B, A8), "")</f>
        <v/>
      </c>
      <c r="I8">
        <f>IF(B8&gt;0, AVERAGEIFS(Calculations!$E:$E, Calculations!$B:$B, A8), "")</f>
        <v/>
      </c>
      <c r="J8">
        <f>IF(B8&gt;0, MINIFS(Calculations!$E:$E, Calculations!$B:$B, A8), "")</f>
        <v/>
      </c>
      <c r="K8">
        <f>IF(B8&gt;0, MAXIFS(Calculations!$E:$E, Calculations!$B:$B, A8), "")</f>
        <v/>
      </c>
      <c r="L8">
        <f>IF(COUNTIFS(Calculations!$B:$B, A8, Calculations!$E:$E, "&gt;=65")&gt;0, AVERAGEIFS(Calculations!$Y:$Y, Calculations!$B:$B, A8, Calculations!$E:$E, "&gt;=65"), "")</f>
        <v/>
      </c>
      <c r="M8">
        <f>IF(COUNTIFS(Calculations!$B:$B, A8, Calculations!$E:$E, "&gt;=65")&gt;0, MINIFS(Calculations!$Y:$Y, Calculations!$B:$B, A8, Calculations!$E:$E, "&gt;=65"), "")</f>
        <v/>
      </c>
      <c r="N8">
        <f>IF(COUNTIFS(Calculations!$B:$B, A8, Calculations!$E:$E, "&gt;=65")&gt;0, MAXIFS(Calculations!$Y:$Y, Calculations!$B:$B, A8, Calculations!$E:$E, "&gt;=65"), "")</f>
        <v/>
      </c>
    </row>
    <row r="9">
      <c r="A9" t="n">
        <v>25</v>
      </c>
      <c r="B9">
        <f>COUNTIFS(Calculations!$B:$B, A9)</f>
        <v/>
      </c>
      <c r="C9">
        <f>IF(B9&gt;0, AVERAGEIFS(Calculations!$C:$C, Calculations!$B:$B, A9), "")</f>
        <v/>
      </c>
      <c r="D9">
        <f>IF(B9&gt;0, MINIFS(Calculations!$C:$C, Calculations!$B:$B, A9), "")</f>
        <v/>
      </c>
      <c r="E9">
        <f>IF(B9&gt;0, MAXIFS(Calculations!$C:$C, Calculations!$B:$B, A9), "")</f>
        <v/>
      </c>
      <c r="F9">
        <f>IF(B9&gt;0, AVERAGEIFS(Calculations!$D:$D, Calculations!$B:$B, A9), "")</f>
        <v/>
      </c>
      <c r="G9">
        <f>IF(B9&gt;0, MINIFS(Calculations!$D:$D, Calculations!$B:$B, A9), "")</f>
        <v/>
      </c>
      <c r="H9">
        <f>IF(B9&gt;0, MAXIFS(Calculations!$D:$D, Calculations!$B:$B, A9), "")</f>
        <v/>
      </c>
      <c r="I9">
        <f>IF(B9&gt;0, AVERAGEIFS(Calculations!$E:$E, Calculations!$B:$B, A9), "")</f>
        <v/>
      </c>
      <c r="J9">
        <f>IF(B9&gt;0, MINIFS(Calculations!$E:$E, Calculations!$B:$B, A9), "")</f>
        <v/>
      </c>
      <c r="K9">
        <f>IF(B9&gt;0, MAXIFS(Calculations!$E:$E, Calculations!$B:$B, A9), "")</f>
        <v/>
      </c>
      <c r="L9">
        <f>IF(COUNTIFS(Calculations!$B:$B, A9, Calculations!$E:$E, "&gt;=65")&gt;0, AVERAGEIFS(Calculations!$Y:$Y, Calculations!$B:$B, A9, Calculations!$E:$E, "&gt;=65"), "")</f>
        <v/>
      </c>
      <c r="M9">
        <f>IF(COUNTIFS(Calculations!$B:$B, A9, Calculations!$E:$E, "&gt;=65")&gt;0, MINIFS(Calculations!$Y:$Y, Calculations!$B:$B, A9, Calculations!$E:$E, "&gt;=65"), "")</f>
        <v/>
      </c>
      <c r="N9">
        <f>IF(COUNTIFS(Calculations!$B:$B, A9, Calculations!$E:$E, "&gt;=65")&gt;0, MAXIFS(Calculations!$Y:$Y, Calculations!$B:$B, A9, Calculations!$E:$E, "&gt;=65"), "")</f>
        <v/>
      </c>
    </row>
    <row r="10">
      <c r="A10" t="n">
        <v>26</v>
      </c>
      <c r="B10">
        <f>COUNTIFS(Calculations!$B:$B, A10)</f>
        <v/>
      </c>
      <c r="C10">
        <f>IF(B10&gt;0, AVERAGEIFS(Calculations!$C:$C, Calculations!$B:$B, A10), "")</f>
        <v/>
      </c>
      <c r="D10">
        <f>IF(B10&gt;0, MINIFS(Calculations!$C:$C, Calculations!$B:$B, A10), "")</f>
        <v/>
      </c>
      <c r="E10">
        <f>IF(B10&gt;0, MAXIFS(Calculations!$C:$C, Calculations!$B:$B, A10), "")</f>
        <v/>
      </c>
      <c r="F10">
        <f>IF(B10&gt;0, AVERAGEIFS(Calculations!$D:$D, Calculations!$B:$B, A10), "")</f>
        <v/>
      </c>
      <c r="G10">
        <f>IF(B10&gt;0, MINIFS(Calculations!$D:$D, Calculations!$B:$B, A10), "")</f>
        <v/>
      </c>
      <c r="H10">
        <f>IF(B10&gt;0, MAXIFS(Calculations!$D:$D, Calculations!$B:$B, A10), "")</f>
        <v/>
      </c>
      <c r="I10">
        <f>IF(B10&gt;0, AVERAGEIFS(Calculations!$E:$E, Calculations!$B:$B, A10), "")</f>
        <v/>
      </c>
      <c r="J10">
        <f>IF(B10&gt;0, MINIFS(Calculations!$E:$E, Calculations!$B:$B, A10), "")</f>
        <v/>
      </c>
      <c r="K10">
        <f>IF(B10&gt;0, MAXIFS(Calculations!$E:$E, Calculations!$B:$B, A10), "")</f>
        <v/>
      </c>
      <c r="L10">
        <f>IF(COUNTIFS(Calculations!$B:$B, A10, Calculations!$E:$E, "&gt;=65")&gt;0, AVERAGEIFS(Calculations!$Y:$Y, Calculations!$B:$B, A10, Calculations!$E:$E, "&gt;=65"), "")</f>
        <v/>
      </c>
      <c r="M10">
        <f>IF(COUNTIFS(Calculations!$B:$B, A10, Calculations!$E:$E, "&gt;=65")&gt;0, MINIFS(Calculations!$Y:$Y, Calculations!$B:$B, A10, Calculations!$E:$E, "&gt;=65"), "")</f>
        <v/>
      </c>
      <c r="N10">
        <f>IF(COUNTIFS(Calculations!$B:$B, A10, Calculations!$E:$E, "&gt;=65")&gt;0, MAXIFS(Calculations!$Y:$Y, Calculations!$B:$B, A10, Calculations!$E:$E, "&gt;=65"), "")</f>
        <v/>
      </c>
    </row>
    <row r="11">
      <c r="A11" t="n">
        <v>27</v>
      </c>
      <c r="B11">
        <f>COUNTIFS(Calculations!$B:$B, A11)</f>
        <v/>
      </c>
      <c r="C11">
        <f>IF(B11&gt;0, AVERAGEIFS(Calculations!$C:$C, Calculations!$B:$B, A11), "")</f>
        <v/>
      </c>
      <c r="D11">
        <f>IF(B11&gt;0, MINIFS(Calculations!$C:$C, Calculations!$B:$B, A11), "")</f>
        <v/>
      </c>
      <c r="E11">
        <f>IF(B11&gt;0, MAXIFS(Calculations!$C:$C, Calculations!$B:$B, A11), "")</f>
        <v/>
      </c>
      <c r="F11">
        <f>IF(B11&gt;0, AVERAGEIFS(Calculations!$D:$D, Calculations!$B:$B, A11), "")</f>
        <v/>
      </c>
      <c r="G11">
        <f>IF(B11&gt;0, MINIFS(Calculations!$D:$D, Calculations!$B:$B, A11), "")</f>
        <v/>
      </c>
      <c r="H11">
        <f>IF(B11&gt;0, MAXIFS(Calculations!$D:$D, Calculations!$B:$B, A11), "")</f>
        <v/>
      </c>
      <c r="I11">
        <f>IF(B11&gt;0, AVERAGEIFS(Calculations!$E:$E, Calculations!$B:$B, A11), "")</f>
        <v/>
      </c>
      <c r="J11">
        <f>IF(B11&gt;0, MINIFS(Calculations!$E:$E, Calculations!$B:$B, A11), "")</f>
        <v/>
      </c>
      <c r="K11">
        <f>IF(B11&gt;0, MAXIFS(Calculations!$E:$E, Calculations!$B:$B, A11), "")</f>
        <v/>
      </c>
      <c r="L11">
        <f>IF(COUNTIFS(Calculations!$B:$B, A11, Calculations!$E:$E, "&gt;=65")&gt;0, AVERAGEIFS(Calculations!$Y:$Y, Calculations!$B:$B, A11, Calculations!$E:$E, "&gt;=65"), "")</f>
        <v/>
      </c>
      <c r="M11">
        <f>IF(COUNTIFS(Calculations!$B:$B, A11, Calculations!$E:$E, "&gt;=65")&gt;0, MINIFS(Calculations!$Y:$Y, Calculations!$B:$B, A11, Calculations!$E:$E, "&gt;=65"), "")</f>
        <v/>
      </c>
      <c r="N11">
        <f>IF(COUNTIFS(Calculations!$B:$B, A11, Calculations!$E:$E, "&gt;=65")&gt;0, MAXIFS(Calculations!$Y:$Y, Calculations!$B:$B, A11, Calculations!$E:$E, "&gt;=65"), "")</f>
        <v/>
      </c>
    </row>
    <row r="12">
      <c r="A12" t="n">
        <v>28</v>
      </c>
      <c r="B12">
        <f>COUNTIFS(Calculations!$B:$B, A12)</f>
        <v/>
      </c>
      <c r="C12">
        <f>IF(B12&gt;0, AVERAGEIFS(Calculations!$C:$C, Calculations!$B:$B, A12), "")</f>
        <v/>
      </c>
      <c r="D12">
        <f>IF(B12&gt;0, MINIFS(Calculations!$C:$C, Calculations!$B:$B, A12), "")</f>
        <v/>
      </c>
      <c r="E12">
        <f>IF(B12&gt;0, MAXIFS(Calculations!$C:$C, Calculations!$B:$B, A12), "")</f>
        <v/>
      </c>
      <c r="F12">
        <f>IF(B12&gt;0, AVERAGEIFS(Calculations!$D:$D, Calculations!$B:$B, A12), "")</f>
        <v/>
      </c>
      <c r="G12">
        <f>IF(B12&gt;0, MINIFS(Calculations!$D:$D, Calculations!$B:$B, A12), "")</f>
        <v/>
      </c>
      <c r="H12">
        <f>IF(B12&gt;0, MAXIFS(Calculations!$D:$D, Calculations!$B:$B, A12), "")</f>
        <v/>
      </c>
      <c r="I12">
        <f>IF(B12&gt;0, AVERAGEIFS(Calculations!$E:$E, Calculations!$B:$B, A12), "")</f>
        <v/>
      </c>
      <c r="J12">
        <f>IF(B12&gt;0, MINIFS(Calculations!$E:$E, Calculations!$B:$B, A12), "")</f>
        <v/>
      </c>
      <c r="K12">
        <f>IF(B12&gt;0, MAXIFS(Calculations!$E:$E, Calculations!$B:$B, A12), "")</f>
        <v/>
      </c>
      <c r="L12">
        <f>IF(COUNTIFS(Calculations!$B:$B, A12, Calculations!$E:$E, "&gt;=65")&gt;0, AVERAGEIFS(Calculations!$Y:$Y, Calculations!$B:$B, A12, Calculations!$E:$E, "&gt;=65"), "")</f>
        <v/>
      </c>
      <c r="M12">
        <f>IF(COUNTIFS(Calculations!$B:$B, A12, Calculations!$E:$E, "&gt;=65")&gt;0, MINIFS(Calculations!$Y:$Y, Calculations!$B:$B, A12, Calculations!$E:$E, "&gt;=65"), "")</f>
        <v/>
      </c>
      <c r="N12">
        <f>IF(COUNTIFS(Calculations!$B:$B, A12, Calculations!$E:$E, "&gt;=65")&gt;0, MAXIFS(Calculations!$Y:$Y, Calculations!$B:$B, A12, Calculations!$E:$E, "&gt;=65"), "")</f>
        <v/>
      </c>
    </row>
    <row r="13">
      <c r="A13" t="n">
        <v>29</v>
      </c>
      <c r="B13">
        <f>COUNTIFS(Calculations!$B:$B, A13)</f>
        <v/>
      </c>
      <c r="C13">
        <f>IF(B13&gt;0, AVERAGEIFS(Calculations!$C:$C, Calculations!$B:$B, A13), "")</f>
        <v/>
      </c>
      <c r="D13">
        <f>IF(B13&gt;0, MINIFS(Calculations!$C:$C, Calculations!$B:$B, A13), "")</f>
        <v/>
      </c>
      <c r="E13">
        <f>IF(B13&gt;0, MAXIFS(Calculations!$C:$C, Calculations!$B:$B, A13), "")</f>
        <v/>
      </c>
      <c r="F13">
        <f>IF(B13&gt;0, AVERAGEIFS(Calculations!$D:$D, Calculations!$B:$B, A13), "")</f>
        <v/>
      </c>
      <c r="G13">
        <f>IF(B13&gt;0, MINIFS(Calculations!$D:$D, Calculations!$B:$B, A13), "")</f>
        <v/>
      </c>
      <c r="H13">
        <f>IF(B13&gt;0, MAXIFS(Calculations!$D:$D, Calculations!$B:$B, A13), "")</f>
        <v/>
      </c>
      <c r="I13">
        <f>IF(B13&gt;0, AVERAGEIFS(Calculations!$E:$E, Calculations!$B:$B, A13), "")</f>
        <v/>
      </c>
      <c r="J13">
        <f>IF(B13&gt;0, MINIFS(Calculations!$E:$E, Calculations!$B:$B, A13), "")</f>
        <v/>
      </c>
      <c r="K13">
        <f>IF(B13&gt;0, MAXIFS(Calculations!$E:$E, Calculations!$B:$B, A13), "")</f>
        <v/>
      </c>
      <c r="L13">
        <f>IF(COUNTIFS(Calculations!$B:$B, A13, Calculations!$E:$E, "&gt;=65")&gt;0, AVERAGEIFS(Calculations!$Y:$Y, Calculations!$B:$B, A13, Calculations!$E:$E, "&gt;=65"), "")</f>
        <v/>
      </c>
      <c r="M13">
        <f>IF(COUNTIFS(Calculations!$B:$B, A13, Calculations!$E:$E, "&gt;=65")&gt;0, MINIFS(Calculations!$Y:$Y, Calculations!$B:$B, A13, Calculations!$E:$E, "&gt;=65"), "")</f>
        <v/>
      </c>
      <c r="N13">
        <f>IF(COUNTIFS(Calculations!$B:$B, A13, Calculations!$E:$E, "&gt;=65")&gt;0, MAXIFS(Calculations!$Y:$Y, Calculations!$B:$B, A13, Calculations!$E:$E, "&gt;=65"), "")</f>
        <v/>
      </c>
    </row>
    <row r="14">
      <c r="A14" t="n">
        <v>30</v>
      </c>
      <c r="B14">
        <f>COUNTIFS(Calculations!$B:$B, A14)</f>
        <v/>
      </c>
      <c r="C14">
        <f>IF(B14&gt;0, AVERAGEIFS(Calculations!$C:$C, Calculations!$B:$B, A14), "")</f>
        <v/>
      </c>
      <c r="D14">
        <f>IF(B14&gt;0, MINIFS(Calculations!$C:$C, Calculations!$B:$B, A14), "")</f>
        <v/>
      </c>
      <c r="E14">
        <f>IF(B14&gt;0, MAXIFS(Calculations!$C:$C, Calculations!$B:$B, A14), "")</f>
        <v/>
      </c>
      <c r="F14">
        <f>IF(B14&gt;0, AVERAGEIFS(Calculations!$D:$D, Calculations!$B:$B, A14), "")</f>
        <v/>
      </c>
      <c r="G14">
        <f>IF(B14&gt;0, MINIFS(Calculations!$D:$D, Calculations!$B:$B, A14), "")</f>
        <v/>
      </c>
      <c r="H14">
        <f>IF(B14&gt;0, MAXIFS(Calculations!$D:$D, Calculations!$B:$B, A14), "")</f>
        <v/>
      </c>
      <c r="I14">
        <f>IF(B14&gt;0, AVERAGEIFS(Calculations!$E:$E, Calculations!$B:$B, A14), "")</f>
        <v/>
      </c>
      <c r="J14">
        <f>IF(B14&gt;0, MINIFS(Calculations!$E:$E, Calculations!$B:$B, A14), "")</f>
        <v/>
      </c>
      <c r="K14">
        <f>IF(B14&gt;0, MAXIFS(Calculations!$E:$E, Calculations!$B:$B, A14), "")</f>
        <v/>
      </c>
      <c r="L14">
        <f>IF(COUNTIFS(Calculations!$B:$B, A14, Calculations!$E:$E, "&gt;=65")&gt;0, AVERAGEIFS(Calculations!$Y:$Y, Calculations!$B:$B, A14, Calculations!$E:$E, "&gt;=65"), "")</f>
        <v/>
      </c>
      <c r="M14">
        <f>IF(COUNTIFS(Calculations!$B:$B, A14, Calculations!$E:$E, "&gt;=65")&gt;0, MINIFS(Calculations!$Y:$Y, Calculations!$B:$B, A14, Calculations!$E:$E, "&gt;=65"), "")</f>
        <v/>
      </c>
      <c r="N14">
        <f>IF(COUNTIFS(Calculations!$B:$B, A14, Calculations!$E:$E, "&gt;=65")&gt;0, MAXIFS(Calculations!$Y:$Y, Calculations!$B:$B, A14, Calculations!$E:$E, "&gt;=65"), "")</f>
        <v/>
      </c>
    </row>
    <row r="15">
      <c r="A15" t="n">
        <v>31</v>
      </c>
      <c r="B15">
        <f>COUNTIFS(Calculations!$B:$B, A15)</f>
        <v/>
      </c>
      <c r="C15">
        <f>IF(B15&gt;0, AVERAGEIFS(Calculations!$C:$C, Calculations!$B:$B, A15), "")</f>
        <v/>
      </c>
      <c r="D15">
        <f>IF(B15&gt;0, MINIFS(Calculations!$C:$C, Calculations!$B:$B, A15), "")</f>
        <v/>
      </c>
      <c r="E15">
        <f>IF(B15&gt;0, MAXIFS(Calculations!$C:$C, Calculations!$B:$B, A15), "")</f>
        <v/>
      </c>
      <c r="F15">
        <f>IF(B15&gt;0, AVERAGEIFS(Calculations!$D:$D, Calculations!$B:$B, A15), "")</f>
        <v/>
      </c>
      <c r="G15">
        <f>IF(B15&gt;0, MINIFS(Calculations!$D:$D, Calculations!$B:$B, A15), "")</f>
        <v/>
      </c>
      <c r="H15">
        <f>IF(B15&gt;0, MAXIFS(Calculations!$D:$D, Calculations!$B:$B, A15), "")</f>
        <v/>
      </c>
      <c r="I15">
        <f>IF(B15&gt;0, AVERAGEIFS(Calculations!$E:$E, Calculations!$B:$B, A15), "")</f>
        <v/>
      </c>
      <c r="J15">
        <f>IF(B15&gt;0, MINIFS(Calculations!$E:$E, Calculations!$B:$B, A15), "")</f>
        <v/>
      </c>
      <c r="K15">
        <f>IF(B15&gt;0, MAXIFS(Calculations!$E:$E, Calculations!$B:$B, A15), "")</f>
        <v/>
      </c>
      <c r="L15">
        <f>IF(COUNTIFS(Calculations!$B:$B, A15, Calculations!$E:$E, "&gt;=65")&gt;0, AVERAGEIFS(Calculations!$Y:$Y, Calculations!$B:$B, A15, Calculations!$E:$E, "&gt;=65"), "")</f>
        <v/>
      </c>
      <c r="M15">
        <f>IF(COUNTIFS(Calculations!$B:$B, A15, Calculations!$E:$E, "&gt;=65")&gt;0, MINIFS(Calculations!$Y:$Y, Calculations!$B:$B, A15, Calculations!$E:$E, "&gt;=65"), "")</f>
        <v/>
      </c>
      <c r="N15">
        <f>IF(COUNTIFS(Calculations!$B:$B, A15, Calculations!$E:$E, "&gt;=65")&gt;0, MAXIFS(Calculations!$Y:$Y, Calculations!$B:$B, A15, Calculations!$E:$E, "&gt;=65"), "")</f>
        <v/>
      </c>
    </row>
    <row r="16">
      <c r="A16" t="n">
        <v>32</v>
      </c>
      <c r="B16">
        <f>COUNTIFS(Calculations!$B:$B, A16)</f>
        <v/>
      </c>
      <c r="C16">
        <f>IF(B16&gt;0, AVERAGEIFS(Calculations!$C:$C, Calculations!$B:$B, A16), "")</f>
        <v/>
      </c>
      <c r="D16">
        <f>IF(B16&gt;0, MINIFS(Calculations!$C:$C, Calculations!$B:$B, A16), "")</f>
        <v/>
      </c>
      <c r="E16">
        <f>IF(B16&gt;0, MAXIFS(Calculations!$C:$C, Calculations!$B:$B, A16), "")</f>
        <v/>
      </c>
      <c r="F16">
        <f>IF(B16&gt;0, AVERAGEIFS(Calculations!$D:$D, Calculations!$B:$B, A16), "")</f>
        <v/>
      </c>
      <c r="G16">
        <f>IF(B16&gt;0, MINIFS(Calculations!$D:$D, Calculations!$B:$B, A16), "")</f>
        <v/>
      </c>
      <c r="H16">
        <f>IF(B16&gt;0, MAXIFS(Calculations!$D:$D, Calculations!$B:$B, A16), "")</f>
        <v/>
      </c>
      <c r="I16">
        <f>IF(B16&gt;0, AVERAGEIFS(Calculations!$E:$E, Calculations!$B:$B, A16), "")</f>
        <v/>
      </c>
      <c r="J16">
        <f>IF(B16&gt;0, MINIFS(Calculations!$E:$E, Calculations!$B:$B, A16), "")</f>
        <v/>
      </c>
      <c r="K16">
        <f>IF(B16&gt;0, MAXIFS(Calculations!$E:$E, Calculations!$B:$B, A16), "")</f>
        <v/>
      </c>
      <c r="L16">
        <f>IF(COUNTIFS(Calculations!$B:$B, A16, Calculations!$E:$E, "&gt;=65")&gt;0, AVERAGEIFS(Calculations!$Y:$Y, Calculations!$B:$B, A16, Calculations!$E:$E, "&gt;=65"), "")</f>
        <v/>
      </c>
      <c r="M16">
        <f>IF(COUNTIFS(Calculations!$B:$B, A16, Calculations!$E:$E, "&gt;=65")&gt;0, MINIFS(Calculations!$Y:$Y, Calculations!$B:$B, A16, Calculations!$E:$E, "&gt;=65"), "")</f>
        <v/>
      </c>
      <c r="N16">
        <f>IF(COUNTIFS(Calculations!$B:$B, A16, Calculations!$E:$E, "&gt;=65")&gt;0, MAXIFS(Calculations!$Y:$Y, Calculations!$B:$B, A16, Calculations!$E:$E, "&gt;=65"), "")</f>
        <v/>
      </c>
    </row>
    <row r="17">
      <c r="A17" t="n">
        <v>33</v>
      </c>
      <c r="B17">
        <f>COUNTIFS(Calculations!$B:$B, A17)</f>
        <v/>
      </c>
      <c r="C17">
        <f>IF(B17&gt;0, AVERAGEIFS(Calculations!$C:$C, Calculations!$B:$B, A17), "")</f>
        <v/>
      </c>
      <c r="D17">
        <f>IF(B17&gt;0, MINIFS(Calculations!$C:$C, Calculations!$B:$B, A17), "")</f>
        <v/>
      </c>
      <c r="E17">
        <f>IF(B17&gt;0, MAXIFS(Calculations!$C:$C, Calculations!$B:$B, A17), "")</f>
        <v/>
      </c>
      <c r="F17">
        <f>IF(B17&gt;0, AVERAGEIFS(Calculations!$D:$D, Calculations!$B:$B, A17), "")</f>
        <v/>
      </c>
      <c r="G17">
        <f>IF(B17&gt;0, MINIFS(Calculations!$D:$D, Calculations!$B:$B, A17), "")</f>
        <v/>
      </c>
      <c r="H17">
        <f>IF(B17&gt;0, MAXIFS(Calculations!$D:$D, Calculations!$B:$B, A17), "")</f>
        <v/>
      </c>
      <c r="I17">
        <f>IF(B17&gt;0, AVERAGEIFS(Calculations!$E:$E, Calculations!$B:$B, A17), "")</f>
        <v/>
      </c>
      <c r="J17">
        <f>IF(B17&gt;0, MINIFS(Calculations!$E:$E, Calculations!$B:$B, A17), "")</f>
        <v/>
      </c>
      <c r="K17">
        <f>IF(B17&gt;0, MAXIFS(Calculations!$E:$E, Calculations!$B:$B, A17), "")</f>
        <v/>
      </c>
      <c r="L17">
        <f>IF(COUNTIFS(Calculations!$B:$B, A17, Calculations!$E:$E, "&gt;=65")&gt;0, AVERAGEIFS(Calculations!$Y:$Y, Calculations!$B:$B, A17, Calculations!$E:$E, "&gt;=65"), "")</f>
        <v/>
      </c>
      <c r="M17">
        <f>IF(COUNTIFS(Calculations!$B:$B, A17, Calculations!$E:$E, "&gt;=65")&gt;0, MINIFS(Calculations!$Y:$Y, Calculations!$B:$B, A17, Calculations!$E:$E, "&gt;=65"), "")</f>
        <v/>
      </c>
      <c r="N17">
        <f>IF(COUNTIFS(Calculations!$B:$B, A17, Calculations!$E:$E, "&gt;=65")&gt;0, MAXIFS(Calculations!$Y:$Y, Calculations!$B:$B, A17, Calculations!$E:$E, "&gt;=65"), "")</f>
        <v/>
      </c>
    </row>
    <row r="18">
      <c r="A18" t="n">
        <v>34</v>
      </c>
      <c r="B18">
        <f>COUNTIFS(Calculations!$B:$B, A18)</f>
        <v/>
      </c>
      <c r="C18">
        <f>IF(B18&gt;0, AVERAGEIFS(Calculations!$C:$C, Calculations!$B:$B, A18), "")</f>
        <v/>
      </c>
      <c r="D18">
        <f>IF(B18&gt;0, MINIFS(Calculations!$C:$C, Calculations!$B:$B, A18), "")</f>
        <v/>
      </c>
      <c r="E18">
        <f>IF(B18&gt;0, MAXIFS(Calculations!$C:$C, Calculations!$B:$B, A18), "")</f>
        <v/>
      </c>
      <c r="F18">
        <f>IF(B18&gt;0, AVERAGEIFS(Calculations!$D:$D, Calculations!$B:$B, A18), "")</f>
        <v/>
      </c>
      <c r="G18">
        <f>IF(B18&gt;0, MINIFS(Calculations!$D:$D, Calculations!$B:$B, A18), "")</f>
        <v/>
      </c>
      <c r="H18">
        <f>IF(B18&gt;0, MAXIFS(Calculations!$D:$D, Calculations!$B:$B, A18), "")</f>
        <v/>
      </c>
      <c r="I18">
        <f>IF(B18&gt;0, AVERAGEIFS(Calculations!$E:$E, Calculations!$B:$B, A18), "")</f>
        <v/>
      </c>
      <c r="J18">
        <f>IF(B18&gt;0, MINIFS(Calculations!$E:$E, Calculations!$B:$B, A18), "")</f>
        <v/>
      </c>
      <c r="K18">
        <f>IF(B18&gt;0, MAXIFS(Calculations!$E:$E, Calculations!$B:$B, A18), "")</f>
        <v/>
      </c>
      <c r="L18">
        <f>IF(COUNTIFS(Calculations!$B:$B, A18, Calculations!$E:$E, "&gt;=65")&gt;0, AVERAGEIFS(Calculations!$Y:$Y, Calculations!$B:$B, A18, Calculations!$E:$E, "&gt;=65"), "")</f>
        <v/>
      </c>
      <c r="M18">
        <f>IF(COUNTIFS(Calculations!$B:$B, A18, Calculations!$E:$E, "&gt;=65")&gt;0, MINIFS(Calculations!$Y:$Y, Calculations!$B:$B, A18, Calculations!$E:$E, "&gt;=65"), "")</f>
        <v/>
      </c>
      <c r="N18">
        <f>IF(COUNTIFS(Calculations!$B:$B, A18, Calculations!$E:$E, "&gt;=65")&gt;0, MAXIFS(Calculations!$Y:$Y, Calculations!$B:$B, A18, Calculations!$E:$E, "&gt;=65"), "")</f>
        <v/>
      </c>
    </row>
    <row r="19">
      <c r="A19" t="n">
        <v>35</v>
      </c>
      <c r="B19">
        <f>COUNTIFS(Calculations!$B:$B, A19)</f>
        <v/>
      </c>
      <c r="C19">
        <f>IF(B19&gt;0, AVERAGEIFS(Calculations!$C:$C, Calculations!$B:$B, A19), "")</f>
        <v/>
      </c>
      <c r="D19">
        <f>IF(B19&gt;0, MINIFS(Calculations!$C:$C, Calculations!$B:$B, A19), "")</f>
        <v/>
      </c>
      <c r="E19">
        <f>IF(B19&gt;0, MAXIFS(Calculations!$C:$C, Calculations!$B:$B, A19), "")</f>
        <v/>
      </c>
      <c r="F19">
        <f>IF(B19&gt;0, AVERAGEIFS(Calculations!$D:$D, Calculations!$B:$B, A19), "")</f>
        <v/>
      </c>
      <c r="G19">
        <f>IF(B19&gt;0, MINIFS(Calculations!$D:$D, Calculations!$B:$B, A19), "")</f>
        <v/>
      </c>
      <c r="H19">
        <f>IF(B19&gt;0, MAXIFS(Calculations!$D:$D, Calculations!$B:$B, A19), "")</f>
        <v/>
      </c>
      <c r="I19">
        <f>IF(B19&gt;0, AVERAGEIFS(Calculations!$E:$E, Calculations!$B:$B, A19), "")</f>
        <v/>
      </c>
      <c r="J19">
        <f>IF(B19&gt;0, MINIFS(Calculations!$E:$E, Calculations!$B:$B, A19), "")</f>
        <v/>
      </c>
      <c r="K19">
        <f>IF(B19&gt;0, MAXIFS(Calculations!$E:$E, Calculations!$B:$B, A19), "")</f>
        <v/>
      </c>
      <c r="L19">
        <f>IF(COUNTIFS(Calculations!$B:$B, A19, Calculations!$E:$E, "&gt;=65")&gt;0, AVERAGEIFS(Calculations!$Y:$Y, Calculations!$B:$B, A19, Calculations!$E:$E, "&gt;=65"), "")</f>
        <v/>
      </c>
      <c r="M19">
        <f>IF(COUNTIFS(Calculations!$B:$B, A19, Calculations!$E:$E, "&gt;=65")&gt;0, MINIFS(Calculations!$Y:$Y, Calculations!$B:$B, A19, Calculations!$E:$E, "&gt;=65"), "")</f>
        <v/>
      </c>
      <c r="N19">
        <f>IF(COUNTIFS(Calculations!$B:$B, A19, Calculations!$E:$E, "&gt;=65")&gt;0, MAXIFS(Calculations!$Y:$Y, Calculations!$B:$B, A19, Calculations!$E:$E, "&gt;=65"), "")</f>
        <v/>
      </c>
    </row>
    <row r="20">
      <c r="A20" t="n">
        <v>36</v>
      </c>
      <c r="B20">
        <f>COUNTIFS(Calculations!$B:$B, A20)</f>
        <v/>
      </c>
      <c r="C20">
        <f>IF(B20&gt;0, AVERAGEIFS(Calculations!$C:$C, Calculations!$B:$B, A20), "")</f>
        <v/>
      </c>
      <c r="D20">
        <f>IF(B20&gt;0, MINIFS(Calculations!$C:$C, Calculations!$B:$B, A20), "")</f>
        <v/>
      </c>
      <c r="E20">
        <f>IF(B20&gt;0, MAXIFS(Calculations!$C:$C, Calculations!$B:$B, A20), "")</f>
        <v/>
      </c>
      <c r="F20">
        <f>IF(B20&gt;0, AVERAGEIFS(Calculations!$D:$D, Calculations!$B:$B, A20), "")</f>
        <v/>
      </c>
      <c r="G20">
        <f>IF(B20&gt;0, MINIFS(Calculations!$D:$D, Calculations!$B:$B, A20), "")</f>
        <v/>
      </c>
      <c r="H20">
        <f>IF(B20&gt;0, MAXIFS(Calculations!$D:$D, Calculations!$B:$B, A20), "")</f>
        <v/>
      </c>
      <c r="I20">
        <f>IF(B20&gt;0, AVERAGEIFS(Calculations!$E:$E, Calculations!$B:$B, A20), "")</f>
        <v/>
      </c>
      <c r="J20">
        <f>IF(B20&gt;0, MINIFS(Calculations!$E:$E, Calculations!$B:$B, A20), "")</f>
        <v/>
      </c>
      <c r="K20">
        <f>IF(B20&gt;0, MAXIFS(Calculations!$E:$E, Calculations!$B:$B, A20), "")</f>
        <v/>
      </c>
      <c r="L20">
        <f>IF(COUNTIFS(Calculations!$B:$B, A20, Calculations!$E:$E, "&gt;=65")&gt;0, AVERAGEIFS(Calculations!$Y:$Y, Calculations!$B:$B, A20, Calculations!$E:$E, "&gt;=65"), "")</f>
        <v/>
      </c>
      <c r="M20">
        <f>IF(COUNTIFS(Calculations!$B:$B, A20, Calculations!$E:$E, "&gt;=65")&gt;0, MINIFS(Calculations!$Y:$Y, Calculations!$B:$B, A20, Calculations!$E:$E, "&gt;=65"), "")</f>
        <v/>
      </c>
      <c r="N20">
        <f>IF(COUNTIFS(Calculations!$B:$B, A20, Calculations!$E:$E, "&gt;=65")&gt;0, MAXIFS(Calculations!$Y:$Y, Calculations!$B:$B, A20, Calculations!$E:$E, "&gt;=65"), "")</f>
        <v/>
      </c>
    </row>
    <row r="21">
      <c r="A21" t="n">
        <v>37</v>
      </c>
      <c r="B21">
        <f>COUNTIFS(Calculations!$B:$B, A21)</f>
        <v/>
      </c>
      <c r="C21">
        <f>IF(B21&gt;0, AVERAGEIFS(Calculations!$C:$C, Calculations!$B:$B, A21), "")</f>
        <v/>
      </c>
      <c r="D21">
        <f>IF(B21&gt;0, MINIFS(Calculations!$C:$C, Calculations!$B:$B, A21), "")</f>
        <v/>
      </c>
      <c r="E21">
        <f>IF(B21&gt;0, MAXIFS(Calculations!$C:$C, Calculations!$B:$B, A21), "")</f>
        <v/>
      </c>
      <c r="F21">
        <f>IF(B21&gt;0, AVERAGEIFS(Calculations!$D:$D, Calculations!$B:$B, A21), "")</f>
        <v/>
      </c>
      <c r="G21">
        <f>IF(B21&gt;0, MINIFS(Calculations!$D:$D, Calculations!$B:$B, A21), "")</f>
        <v/>
      </c>
      <c r="H21">
        <f>IF(B21&gt;0, MAXIFS(Calculations!$D:$D, Calculations!$B:$B, A21), "")</f>
        <v/>
      </c>
      <c r="I21">
        <f>IF(B21&gt;0, AVERAGEIFS(Calculations!$E:$E, Calculations!$B:$B, A21), "")</f>
        <v/>
      </c>
      <c r="J21">
        <f>IF(B21&gt;0, MINIFS(Calculations!$E:$E, Calculations!$B:$B, A21), "")</f>
        <v/>
      </c>
      <c r="K21">
        <f>IF(B21&gt;0, MAXIFS(Calculations!$E:$E, Calculations!$B:$B, A21), "")</f>
        <v/>
      </c>
      <c r="L21">
        <f>IF(COUNTIFS(Calculations!$B:$B, A21, Calculations!$E:$E, "&gt;=65")&gt;0, AVERAGEIFS(Calculations!$Y:$Y, Calculations!$B:$B, A21, Calculations!$E:$E, "&gt;=65"), "")</f>
        <v/>
      </c>
      <c r="M21">
        <f>IF(COUNTIFS(Calculations!$B:$B, A21, Calculations!$E:$E, "&gt;=65")&gt;0, MINIFS(Calculations!$Y:$Y, Calculations!$B:$B, A21, Calculations!$E:$E, "&gt;=65"), "")</f>
        <v/>
      </c>
      <c r="N21">
        <f>IF(COUNTIFS(Calculations!$B:$B, A21, Calculations!$E:$E, "&gt;=65")&gt;0, MAXIFS(Calculations!$Y:$Y, Calculations!$B:$B, A21, Calculations!$E:$E, "&gt;=65"), "")</f>
        <v/>
      </c>
    </row>
    <row r="22">
      <c r="A22" t="n">
        <v>38</v>
      </c>
      <c r="B22">
        <f>COUNTIFS(Calculations!$B:$B, A22)</f>
        <v/>
      </c>
      <c r="C22">
        <f>IF(B22&gt;0, AVERAGEIFS(Calculations!$C:$C, Calculations!$B:$B, A22), "")</f>
        <v/>
      </c>
      <c r="D22">
        <f>IF(B22&gt;0, MINIFS(Calculations!$C:$C, Calculations!$B:$B, A22), "")</f>
        <v/>
      </c>
      <c r="E22">
        <f>IF(B22&gt;0, MAXIFS(Calculations!$C:$C, Calculations!$B:$B, A22), "")</f>
        <v/>
      </c>
      <c r="F22">
        <f>IF(B22&gt;0, AVERAGEIFS(Calculations!$D:$D, Calculations!$B:$B, A22), "")</f>
        <v/>
      </c>
      <c r="G22">
        <f>IF(B22&gt;0, MINIFS(Calculations!$D:$D, Calculations!$B:$B, A22), "")</f>
        <v/>
      </c>
      <c r="H22">
        <f>IF(B22&gt;0, MAXIFS(Calculations!$D:$D, Calculations!$B:$B, A22), "")</f>
        <v/>
      </c>
      <c r="I22">
        <f>IF(B22&gt;0, AVERAGEIFS(Calculations!$E:$E, Calculations!$B:$B, A22), "")</f>
        <v/>
      </c>
      <c r="J22">
        <f>IF(B22&gt;0, MINIFS(Calculations!$E:$E, Calculations!$B:$B, A22), "")</f>
        <v/>
      </c>
      <c r="K22">
        <f>IF(B22&gt;0, MAXIFS(Calculations!$E:$E, Calculations!$B:$B, A22), "")</f>
        <v/>
      </c>
      <c r="L22">
        <f>IF(COUNTIFS(Calculations!$B:$B, A22, Calculations!$E:$E, "&gt;=65")&gt;0, AVERAGEIFS(Calculations!$Y:$Y, Calculations!$B:$B, A22, Calculations!$E:$E, "&gt;=65"), "")</f>
        <v/>
      </c>
      <c r="M22">
        <f>IF(COUNTIFS(Calculations!$B:$B, A22, Calculations!$E:$E, "&gt;=65")&gt;0, MINIFS(Calculations!$Y:$Y, Calculations!$B:$B, A22, Calculations!$E:$E, "&gt;=65"), "")</f>
        <v/>
      </c>
      <c r="N22">
        <f>IF(COUNTIFS(Calculations!$B:$B, A22, Calculations!$E:$E, "&gt;=65")&gt;0, MAXIFS(Calculations!$Y:$Y, Calculations!$B:$B, A22, Calculations!$E:$E, "&gt;=65"), "")</f>
        <v/>
      </c>
    </row>
    <row r="23">
      <c r="A23" t="n">
        <v>39</v>
      </c>
      <c r="B23">
        <f>COUNTIFS(Calculations!$B:$B, A23)</f>
        <v/>
      </c>
      <c r="C23">
        <f>IF(B23&gt;0, AVERAGEIFS(Calculations!$C:$C, Calculations!$B:$B, A23), "")</f>
        <v/>
      </c>
      <c r="D23">
        <f>IF(B23&gt;0, MINIFS(Calculations!$C:$C, Calculations!$B:$B, A23), "")</f>
        <v/>
      </c>
      <c r="E23">
        <f>IF(B23&gt;0, MAXIFS(Calculations!$C:$C, Calculations!$B:$B, A23), "")</f>
        <v/>
      </c>
      <c r="F23">
        <f>IF(B23&gt;0, AVERAGEIFS(Calculations!$D:$D, Calculations!$B:$B, A23), "")</f>
        <v/>
      </c>
      <c r="G23">
        <f>IF(B23&gt;0, MINIFS(Calculations!$D:$D, Calculations!$B:$B, A23), "")</f>
        <v/>
      </c>
      <c r="H23">
        <f>IF(B23&gt;0, MAXIFS(Calculations!$D:$D, Calculations!$B:$B, A23), "")</f>
        <v/>
      </c>
      <c r="I23">
        <f>IF(B23&gt;0, AVERAGEIFS(Calculations!$E:$E, Calculations!$B:$B, A23), "")</f>
        <v/>
      </c>
      <c r="J23">
        <f>IF(B23&gt;0, MINIFS(Calculations!$E:$E, Calculations!$B:$B, A23), "")</f>
        <v/>
      </c>
      <c r="K23">
        <f>IF(B23&gt;0, MAXIFS(Calculations!$E:$E, Calculations!$B:$B, A23), "")</f>
        <v/>
      </c>
      <c r="L23">
        <f>IF(COUNTIFS(Calculations!$B:$B, A23, Calculations!$E:$E, "&gt;=65")&gt;0, AVERAGEIFS(Calculations!$Y:$Y, Calculations!$B:$B, A23, Calculations!$E:$E, "&gt;=65"), "")</f>
        <v/>
      </c>
      <c r="M23">
        <f>IF(COUNTIFS(Calculations!$B:$B, A23, Calculations!$E:$E, "&gt;=65")&gt;0, MINIFS(Calculations!$Y:$Y, Calculations!$B:$B, A23, Calculations!$E:$E, "&gt;=65"), "")</f>
        <v/>
      </c>
      <c r="N23">
        <f>IF(COUNTIFS(Calculations!$B:$B, A23, Calculations!$E:$E, "&gt;=65")&gt;0, MAXIFS(Calculations!$Y:$Y, Calculations!$B:$B, A23, Calculations!$E:$E, "&gt;=65"), "")</f>
        <v/>
      </c>
    </row>
    <row r="24">
      <c r="A24" t="n">
        <v>40</v>
      </c>
      <c r="B24">
        <f>COUNTIFS(Calculations!$B:$B, A24)</f>
        <v/>
      </c>
      <c r="C24">
        <f>IF(B24&gt;0, AVERAGEIFS(Calculations!$C:$C, Calculations!$B:$B, A24), "")</f>
        <v/>
      </c>
      <c r="D24">
        <f>IF(B24&gt;0, MINIFS(Calculations!$C:$C, Calculations!$B:$B, A24), "")</f>
        <v/>
      </c>
      <c r="E24">
        <f>IF(B24&gt;0, MAXIFS(Calculations!$C:$C, Calculations!$B:$B, A24), "")</f>
        <v/>
      </c>
      <c r="F24">
        <f>IF(B24&gt;0, AVERAGEIFS(Calculations!$D:$D, Calculations!$B:$B, A24), "")</f>
        <v/>
      </c>
      <c r="G24">
        <f>IF(B24&gt;0, MINIFS(Calculations!$D:$D, Calculations!$B:$B, A24), "")</f>
        <v/>
      </c>
      <c r="H24">
        <f>IF(B24&gt;0, MAXIFS(Calculations!$D:$D, Calculations!$B:$B, A24), "")</f>
        <v/>
      </c>
      <c r="I24">
        <f>IF(B24&gt;0, AVERAGEIFS(Calculations!$E:$E, Calculations!$B:$B, A24), "")</f>
        <v/>
      </c>
      <c r="J24">
        <f>IF(B24&gt;0, MINIFS(Calculations!$E:$E, Calculations!$B:$B, A24), "")</f>
        <v/>
      </c>
      <c r="K24">
        <f>IF(B24&gt;0, MAXIFS(Calculations!$E:$E, Calculations!$B:$B, A24), "")</f>
        <v/>
      </c>
      <c r="L24">
        <f>IF(COUNTIFS(Calculations!$B:$B, A24, Calculations!$E:$E, "&gt;=65")&gt;0, AVERAGEIFS(Calculations!$Y:$Y, Calculations!$B:$B, A24, Calculations!$E:$E, "&gt;=65"), "")</f>
        <v/>
      </c>
      <c r="M24">
        <f>IF(COUNTIFS(Calculations!$B:$B, A24, Calculations!$E:$E, "&gt;=65")&gt;0, MINIFS(Calculations!$Y:$Y, Calculations!$B:$B, A24, Calculations!$E:$E, "&gt;=65"), "")</f>
        <v/>
      </c>
      <c r="N24">
        <f>IF(COUNTIFS(Calculations!$B:$B, A24, Calculations!$E:$E, "&gt;=65")&gt;0, MAXIFS(Calculations!$Y:$Y, Calculations!$B:$B, A24, Calculations!$E:$E, "&gt;=65"), "")</f>
        <v/>
      </c>
    </row>
    <row r="25">
      <c r="A25" t="n">
        <v>41</v>
      </c>
      <c r="B25">
        <f>COUNTIFS(Calculations!$B:$B, A25)</f>
        <v/>
      </c>
      <c r="C25">
        <f>IF(B25&gt;0, AVERAGEIFS(Calculations!$C:$C, Calculations!$B:$B, A25), "")</f>
        <v/>
      </c>
      <c r="D25">
        <f>IF(B25&gt;0, MINIFS(Calculations!$C:$C, Calculations!$B:$B, A25), "")</f>
        <v/>
      </c>
      <c r="E25">
        <f>IF(B25&gt;0, MAXIFS(Calculations!$C:$C, Calculations!$B:$B, A25), "")</f>
        <v/>
      </c>
      <c r="F25">
        <f>IF(B25&gt;0, AVERAGEIFS(Calculations!$D:$D, Calculations!$B:$B, A25), "")</f>
        <v/>
      </c>
      <c r="G25">
        <f>IF(B25&gt;0, MINIFS(Calculations!$D:$D, Calculations!$B:$B, A25), "")</f>
        <v/>
      </c>
      <c r="H25">
        <f>IF(B25&gt;0, MAXIFS(Calculations!$D:$D, Calculations!$B:$B, A25), "")</f>
        <v/>
      </c>
      <c r="I25">
        <f>IF(B25&gt;0, AVERAGEIFS(Calculations!$E:$E, Calculations!$B:$B, A25), "")</f>
        <v/>
      </c>
      <c r="J25">
        <f>IF(B25&gt;0, MINIFS(Calculations!$E:$E, Calculations!$B:$B, A25), "")</f>
        <v/>
      </c>
      <c r="K25">
        <f>IF(B25&gt;0, MAXIFS(Calculations!$E:$E, Calculations!$B:$B, A25), "")</f>
        <v/>
      </c>
      <c r="L25">
        <f>IF(COUNTIFS(Calculations!$B:$B, A25, Calculations!$E:$E, "&gt;=65")&gt;0, AVERAGEIFS(Calculations!$Y:$Y, Calculations!$B:$B, A25, Calculations!$E:$E, "&gt;=65"), "")</f>
        <v/>
      </c>
      <c r="M25">
        <f>IF(COUNTIFS(Calculations!$B:$B, A25, Calculations!$E:$E, "&gt;=65")&gt;0, MINIFS(Calculations!$Y:$Y, Calculations!$B:$B, A25, Calculations!$E:$E, "&gt;=65"), "")</f>
        <v/>
      </c>
      <c r="N25">
        <f>IF(COUNTIFS(Calculations!$B:$B, A25, Calculations!$E:$E, "&gt;=65")&gt;0, MAXIFS(Calculations!$Y:$Y, Calculations!$B:$B, A25, Calculations!$E:$E, "&gt;=65"), "")</f>
        <v/>
      </c>
    </row>
    <row r="26">
      <c r="A26" t="n">
        <v>42</v>
      </c>
      <c r="B26">
        <f>COUNTIFS(Calculations!$B:$B, A26)</f>
        <v/>
      </c>
      <c r="C26">
        <f>IF(B26&gt;0, AVERAGEIFS(Calculations!$C:$C, Calculations!$B:$B, A26), "")</f>
        <v/>
      </c>
      <c r="D26">
        <f>IF(B26&gt;0, MINIFS(Calculations!$C:$C, Calculations!$B:$B, A26), "")</f>
        <v/>
      </c>
      <c r="E26">
        <f>IF(B26&gt;0, MAXIFS(Calculations!$C:$C, Calculations!$B:$B, A26), "")</f>
        <v/>
      </c>
      <c r="F26">
        <f>IF(B26&gt;0, AVERAGEIFS(Calculations!$D:$D, Calculations!$B:$B, A26), "")</f>
        <v/>
      </c>
      <c r="G26">
        <f>IF(B26&gt;0, MINIFS(Calculations!$D:$D, Calculations!$B:$B, A26), "")</f>
        <v/>
      </c>
      <c r="H26">
        <f>IF(B26&gt;0, MAXIFS(Calculations!$D:$D, Calculations!$B:$B, A26), "")</f>
        <v/>
      </c>
      <c r="I26">
        <f>IF(B26&gt;0, AVERAGEIFS(Calculations!$E:$E, Calculations!$B:$B, A26), "")</f>
        <v/>
      </c>
      <c r="J26">
        <f>IF(B26&gt;0, MINIFS(Calculations!$E:$E, Calculations!$B:$B, A26), "")</f>
        <v/>
      </c>
      <c r="K26">
        <f>IF(B26&gt;0, MAXIFS(Calculations!$E:$E, Calculations!$B:$B, A26), "")</f>
        <v/>
      </c>
      <c r="L26">
        <f>IF(COUNTIFS(Calculations!$B:$B, A26, Calculations!$E:$E, "&gt;=65")&gt;0, AVERAGEIFS(Calculations!$Y:$Y, Calculations!$B:$B, A26, Calculations!$E:$E, "&gt;=65"), "")</f>
        <v/>
      </c>
      <c r="M26">
        <f>IF(COUNTIFS(Calculations!$B:$B, A26, Calculations!$E:$E, "&gt;=65")&gt;0, MINIFS(Calculations!$Y:$Y, Calculations!$B:$B, A26, Calculations!$E:$E, "&gt;=65"), "")</f>
        <v/>
      </c>
      <c r="N26">
        <f>IF(COUNTIFS(Calculations!$B:$B, A26, Calculations!$E:$E, "&gt;=65")&gt;0, MAXIFS(Calculations!$Y:$Y, Calculations!$B:$B, A26, Calculations!$E:$E, "&gt;=65"), "")</f>
        <v/>
      </c>
    </row>
    <row r="27">
      <c r="A27" t="n">
        <v>43</v>
      </c>
      <c r="B27">
        <f>COUNTIFS(Calculations!$B:$B, A27)</f>
        <v/>
      </c>
      <c r="C27">
        <f>IF(B27&gt;0, AVERAGEIFS(Calculations!$C:$C, Calculations!$B:$B, A27), "")</f>
        <v/>
      </c>
      <c r="D27">
        <f>IF(B27&gt;0, MINIFS(Calculations!$C:$C, Calculations!$B:$B, A27), "")</f>
        <v/>
      </c>
      <c r="E27">
        <f>IF(B27&gt;0, MAXIFS(Calculations!$C:$C, Calculations!$B:$B, A27), "")</f>
        <v/>
      </c>
      <c r="F27">
        <f>IF(B27&gt;0, AVERAGEIFS(Calculations!$D:$D, Calculations!$B:$B, A27), "")</f>
        <v/>
      </c>
      <c r="G27">
        <f>IF(B27&gt;0, MINIFS(Calculations!$D:$D, Calculations!$B:$B, A27), "")</f>
        <v/>
      </c>
      <c r="H27">
        <f>IF(B27&gt;0, MAXIFS(Calculations!$D:$D, Calculations!$B:$B, A27), "")</f>
        <v/>
      </c>
      <c r="I27">
        <f>IF(B27&gt;0, AVERAGEIFS(Calculations!$E:$E, Calculations!$B:$B, A27), "")</f>
        <v/>
      </c>
      <c r="J27">
        <f>IF(B27&gt;0, MINIFS(Calculations!$E:$E, Calculations!$B:$B, A27), "")</f>
        <v/>
      </c>
      <c r="K27">
        <f>IF(B27&gt;0, MAXIFS(Calculations!$E:$E, Calculations!$B:$B, A27), "")</f>
        <v/>
      </c>
      <c r="L27">
        <f>IF(COUNTIFS(Calculations!$B:$B, A27, Calculations!$E:$E, "&gt;=65")&gt;0, AVERAGEIFS(Calculations!$Y:$Y, Calculations!$B:$B, A27, Calculations!$E:$E, "&gt;=65"), "")</f>
        <v/>
      </c>
      <c r="M27">
        <f>IF(COUNTIFS(Calculations!$B:$B, A27, Calculations!$E:$E, "&gt;=65")&gt;0, MINIFS(Calculations!$Y:$Y, Calculations!$B:$B, A27, Calculations!$E:$E, "&gt;=65"), "")</f>
        <v/>
      </c>
      <c r="N27">
        <f>IF(COUNTIFS(Calculations!$B:$B, A27, Calculations!$E:$E, "&gt;=65")&gt;0, MAXIFS(Calculations!$Y:$Y, Calculations!$B:$B, A27, Calculations!$E:$E, "&gt;=65"), "")</f>
        <v/>
      </c>
    </row>
    <row r="28">
      <c r="A28" t="n">
        <v>44</v>
      </c>
      <c r="B28">
        <f>COUNTIFS(Calculations!$B:$B, A28)</f>
        <v/>
      </c>
      <c r="C28">
        <f>IF(B28&gt;0, AVERAGEIFS(Calculations!$C:$C, Calculations!$B:$B, A28), "")</f>
        <v/>
      </c>
      <c r="D28">
        <f>IF(B28&gt;0, MINIFS(Calculations!$C:$C, Calculations!$B:$B, A28), "")</f>
        <v/>
      </c>
      <c r="E28">
        <f>IF(B28&gt;0, MAXIFS(Calculations!$C:$C, Calculations!$B:$B, A28), "")</f>
        <v/>
      </c>
      <c r="F28">
        <f>IF(B28&gt;0, AVERAGEIFS(Calculations!$D:$D, Calculations!$B:$B, A28), "")</f>
        <v/>
      </c>
      <c r="G28">
        <f>IF(B28&gt;0, MINIFS(Calculations!$D:$D, Calculations!$B:$B, A28), "")</f>
        <v/>
      </c>
      <c r="H28">
        <f>IF(B28&gt;0, MAXIFS(Calculations!$D:$D, Calculations!$B:$B, A28), "")</f>
        <v/>
      </c>
      <c r="I28">
        <f>IF(B28&gt;0, AVERAGEIFS(Calculations!$E:$E, Calculations!$B:$B, A28), "")</f>
        <v/>
      </c>
      <c r="J28">
        <f>IF(B28&gt;0, MINIFS(Calculations!$E:$E, Calculations!$B:$B, A28), "")</f>
        <v/>
      </c>
      <c r="K28">
        <f>IF(B28&gt;0, MAXIFS(Calculations!$E:$E, Calculations!$B:$B, A28), "")</f>
        <v/>
      </c>
      <c r="L28">
        <f>IF(COUNTIFS(Calculations!$B:$B, A28, Calculations!$E:$E, "&gt;=65")&gt;0, AVERAGEIFS(Calculations!$Y:$Y, Calculations!$B:$B, A28, Calculations!$E:$E, "&gt;=65"), "")</f>
        <v/>
      </c>
      <c r="M28">
        <f>IF(COUNTIFS(Calculations!$B:$B, A28, Calculations!$E:$E, "&gt;=65")&gt;0, MINIFS(Calculations!$Y:$Y, Calculations!$B:$B, A28, Calculations!$E:$E, "&gt;=65"), "")</f>
        <v/>
      </c>
      <c r="N28">
        <f>IF(COUNTIFS(Calculations!$B:$B, A28, Calculations!$E:$E, "&gt;=65")&gt;0, MAXIFS(Calculations!$Y:$Y, Calculations!$B:$B, A28, Calculations!$E:$E, "&gt;=65"), "")</f>
        <v/>
      </c>
    </row>
    <row r="29">
      <c r="A29" t="n">
        <v>45</v>
      </c>
      <c r="B29">
        <f>COUNTIFS(Calculations!$B:$B, A29)</f>
        <v/>
      </c>
      <c r="C29">
        <f>IF(B29&gt;0, AVERAGEIFS(Calculations!$C:$C, Calculations!$B:$B, A29), "")</f>
        <v/>
      </c>
      <c r="D29">
        <f>IF(B29&gt;0, MINIFS(Calculations!$C:$C, Calculations!$B:$B, A29), "")</f>
        <v/>
      </c>
      <c r="E29">
        <f>IF(B29&gt;0, MAXIFS(Calculations!$C:$C, Calculations!$B:$B, A29), "")</f>
        <v/>
      </c>
      <c r="F29">
        <f>IF(B29&gt;0, AVERAGEIFS(Calculations!$D:$D, Calculations!$B:$B, A29), "")</f>
        <v/>
      </c>
      <c r="G29">
        <f>IF(B29&gt;0, MINIFS(Calculations!$D:$D, Calculations!$B:$B, A29), "")</f>
        <v/>
      </c>
      <c r="H29">
        <f>IF(B29&gt;0, MAXIFS(Calculations!$D:$D, Calculations!$B:$B, A29), "")</f>
        <v/>
      </c>
      <c r="I29">
        <f>IF(B29&gt;0, AVERAGEIFS(Calculations!$E:$E, Calculations!$B:$B, A29), "")</f>
        <v/>
      </c>
      <c r="J29">
        <f>IF(B29&gt;0, MINIFS(Calculations!$E:$E, Calculations!$B:$B, A29), "")</f>
        <v/>
      </c>
      <c r="K29">
        <f>IF(B29&gt;0, MAXIFS(Calculations!$E:$E, Calculations!$B:$B, A29), "")</f>
        <v/>
      </c>
      <c r="L29">
        <f>IF(COUNTIFS(Calculations!$B:$B, A29, Calculations!$E:$E, "&gt;=65")&gt;0, AVERAGEIFS(Calculations!$Y:$Y, Calculations!$B:$B, A29, Calculations!$E:$E, "&gt;=65"), "")</f>
        <v/>
      </c>
      <c r="M29">
        <f>IF(COUNTIFS(Calculations!$B:$B, A29, Calculations!$E:$E, "&gt;=65")&gt;0, MINIFS(Calculations!$Y:$Y, Calculations!$B:$B, A29, Calculations!$E:$E, "&gt;=65"), "")</f>
        <v/>
      </c>
      <c r="N29">
        <f>IF(COUNTIFS(Calculations!$B:$B, A29, Calculations!$E:$E, "&gt;=65")&gt;0, MAXIFS(Calculations!$Y:$Y, Calculations!$B:$B, A29, Calculations!$E:$E, "&gt;=65"), "")</f>
        <v/>
      </c>
    </row>
    <row r="30">
      <c r="A30" t="n">
        <v>46</v>
      </c>
      <c r="B30">
        <f>COUNTIFS(Calculations!$B:$B, A30)</f>
        <v/>
      </c>
      <c r="C30">
        <f>IF(B30&gt;0, AVERAGEIFS(Calculations!$C:$C, Calculations!$B:$B, A30), "")</f>
        <v/>
      </c>
      <c r="D30">
        <f>IF(B30&gt;0, MINIFS(Calculations!$C:$C, Calculations!$B:$B, A30), "")</f>
        <v/>
      </c>
      <c r="E30">
        <f>IF(B30&gt;0, MAXIFS(Calculations!$C:$C, Calculations!$B:$B, A30), "")</f>
        <v/>
      </c>
      <c r="F30">
        <f>IF(B30&gt;0, AVERAGEIFS(Calculations!$D:$D, Calculations!$B:$B, A30), "")</f>
        <v/>
      </c>
      <c r="G30">
        <f>IF(B30&gt;0, MINIFS(Calculations!$D:$D, Calculations!$B:$B, A30), "")</f>
        <v/>
      </c>
      <c r="H30">
        <f>IF(B30&gt;0, MAXIFS(Calculations!$D:$D, Calculations!$B:$B, A30), "")</f>
        <v/>
      </c>
      <c r="I30">
        <f>IF(B30&gt;0, AVERAGEIFS(Calculations!$E:$E, Calculations!$B:$B, A30), "")</f>
        <v/>
      </c>
      <c r="J30">
        <f>IF(B30&gt;0, MINIFS(Calculations!$E:$E, Calculations!$B:$B, A30), "")</f>
        <v/>
      </c>
      <c r="K30">
        <f>IF(B30&gt;0, MAXIFS(Calculations!$E:$E, Calculations!$B:$B, A30), "")</f>
        <v/>
      </c>
      <c r="L30">
        <f>IF(COUNTIFS(Calculations!$B:$B, A30, Calculations!$E:$E, "&gt;=65")&gt;0, AVERAGEIFS(Calculations!$Y:$Y, Calculations!$B:$B, A30, Calculations!$E:$E, "&gt;=65"), "")</f>
        <v/>
      </c>
      <c r="M30">
        <f>IF(COUNTIFS(Calculations!$B:$B, A30, Calculations!$E:$E, "&gt;=65")&gt;0, MINIFS(Calculations!$Y:$Y, Calculations!$B:$B, A30, Calculations!$E:$E, "&gt;=65"), "")</f>
        <v/>
      </c>
      <c r="N30">
        <f>IF(COUNTIFS(Calculations!$B:$B, A30, Calculations!$E:$E, "&gt;=65")&gt;0, MAXIFS(Calculations!$Y:$Y, Calculations!$B:$B, A30, Calculations!$E:$E, "&gt;=65"), "")</f>
        <v/>
      </c>
    </row>
    <row r="31">
      <c r="A31" t="n">
        <v>47</v>
      </c>
      <c r="B31">
        <f>COUNTIFS(Calculations!$B:$B, A31)</f>
        <v/>
      </c>
      <c r="C31">
        <f>IF(B31&gt;0, AVERAGEIFS(Calculations!$C:$C, Calculations!$B:$B, A31), "")</f>
        <v/>
      </c>
      <c r="D31">
        <f>IF(B31&gt;0, MINIFS(Calculations!$C:$C, Calculations!$B:$B, A31), "")</f>
        <v/>
      </c>
      <c r="E31">
        <f>IF(B31&gt;0, MAXIFS(Calculations!$C:$C, Calculations!$B:$B, A31), "")</f>
        <v/>
      </c>
      <c r="F31">
        <f>IF(B31&gt;0, AVERAGEIFS(Calculations!$D:$D, Calculations!$B:$B, A31), "")</f>
        <v/>
      </c>
      <c r="G31">
        <f>IF(B31&gt;0, MINIFS(Calculations!$D:$D, Calculations!$B:$B, A31), "")</f>
        <v/>
      </c>
      <c r="H31">
        <f>IF(B31&gt;0, MAXIFS(Calculations!$D:$D, Calculations!$B:$B, A31), "")</f>
        <v/>
      </c>
      <c r="I31">
        <f>IF(B31&gt;0, AVERAGEIFS(Calculations!$E:$E, Calculations!$B:$B, A31), "")</f>
        <v/>
      </c>
      <c r="J31">
        <f>IF(B31&gt;0, MINIFS(Calculations!$E:$E, Calculations!$B:$B, A31), "")</f>
        <v/>
      </c>
      <c r="K31">
        <f>IF(B31&gt;0, MAXIFS(Calculations!$E:$E, Calculations!$B:$B, A31), "")</f>
        <v/>
      </c>
      <c r="L31">
        <f>IF(COUNTIFS(Calculations!$B:$B, A31, Calculations!$E:$E, "&gt;=65")&gt;0, AVERAGEIFS(Calculations!$Y:$Y, Calculations!$B:$B, A31, Calculations!$E:$E, "&gt;=65"), "")</f>
        <v/>
      </c>
      <c r="M31">
        <f>IF(COUNTIFS(Calculations!$B:$B, A31, Calculations!$E:$E, "&gt;=65")&gt;0, MINIFS(Calculations!$Y:$Y, Calculations!$B:$B, A31, Calculations!$E:$E, "&gt;=65"), "")</f>
        <v/>
      </c>
      <c r="N31">
        <f>IF(COUNTIFS(Calculations!$B:$B, A31, Calculations!$E:$E, "&gt;=65")&gt;0, MAXIFS(Calculations!$Y:$Y, Calculations!$B:$B, A31, Calculations!$E:$E, "&gt;=65"), "")</f>
        <v/>
      </c>
    </row>
    <row r="32">
      <c r="A32" t="n">
        <v>48</v>
      </c>
      <c r="B32">
        <f>COUNTIFS(Calculations!$B:$B, A32)</f>
        <v/>
      </c>
      <c r="C32">
        <f>IF(B32&gt;0, AVERAGEIFS(Calculations!$C:$C, Calculations!$B:$B, A32), "")</f>
        <v/>
      </c>
      <c r="D32">
        <f>IF(B32&gt;0, MINIFS(Calculations!$C:$C, Calculations!$B:$B, A32), "")</f>
        <v/>
      </c>
      <c r="E32">
        <f>IF(B32&gt;0, MAXIFS(Calculations!$C:$C, Calculations!$B:$B, A32), "")</f>
        <v/>
      </c>
      <c r="F32">
        <f>IF(B32&gt;0, AVERAGEIFS(Calculations!$D:$D, Calculations!$B:$B, A32), "")</f>
        <v/>
      </c>
      <c r="G32">
        <f>IF(B32&gt;0, MINIFS(Calculations!$D:$D, Calculations!$B:$B, A32), "")</f>
        <v/>
      </c>
      <c r="H32">
        <f>IF(B32&gt;0, MAXIFS(Calculations!$D:$D, Calculations!$B:$B, A32), "")</f>
        <v/>
      </c>
      <c r="I32">
        <f>IF(B32&gt;0, AVERAGEIFS(Calculations!$E:$E, Calculations!$B:$B, A32), "")</f>
        <v/>
      </c>
      <c r="J32">
        <f>IF(B32&gt;0, MINIFS(Calculations!$E:$E, Calculations!$B:$B, A32), "")</f>
        <v/>
      </c>
      <c r="K32">
        <f>IF(B32&gt;0, MAXIFS(Calculations!$E:$E, Calculations!$B:$B, A32), "")</f>
        <v/>
      </c>
      <c r="L32">
        <f>IF(COUNTIFS(Calculations!$B:$B, A32, Calculations!$E:$E, "&gt;=65")&gt;0, AVERAGEIFS(Calculations!$Y:$Y, Calculations!$B:$B, A32, Calculations!$E:$E, "&gt;=65"), "")</f>
        <v/>
      </c>
      <c r="M32">
        <f>IF(COUNTIFS(Calculations!$B:$B, A32, Calculations!$E:$E, "&gt;=65")&gt;0, MINIFS(Calculations!$Y:$Y, Calculations!$B:$B, A32, Calculations!$E:$E, "&gt;=65"), "")</f>
        <v/>
      </c>
      <c r="N32">
        <f>IF(COUNTIFS(Calculations!$B:$B, A32, Calculations!$E:$E, "&gt;=65")&gt;0, MAXIFS(Calculations!$Y:$Y, Calculations!$B:$B, A32, Calculations!$E:$E, "&gt;=65"), "")</f>
        <v/>
      </c>
    </row>
    <row r="33">
      <c r="A33" t="n">
        <v>49</v>
      </c>
      <c r="B33">
        <f>COUNTIFS(Calculations!$B:$B, A33)</f>
        <v/>
      </c>
      <c r="C33">
        <f>IF(B33&gt;0, AVERAGEIFS(Calculations!$C:$C, Calculations!$B:$B, A33), "")</f>
        <v/>
      </c>
      <c r="D33">
        <f>IF(B33&gt;0, MINIFS(Calculations!$C:$C, Calculations!$B:$B, A33), "")</f>
        <v/>
      </c>
      <c r="E33">
        <f>IF(B33&gt;0, MAXIFS(Calculations!$C:$C, Calculations!$B:$B, A33), "")</f>
        <v/>
      </c>
      <c r="F33">
        <f>IF(B33&gt;0, AVERAGEIFS(Calculations!$D:$D, Calculations!$B:$B, A33), "")</f>
        <v/>
      </c>
      <c r="G33">
        <f>IF(B33&gt;0, MINIFS(Calculations!$D:$D, Calculations!$B:$B, A33), "")</f>
        <v/>
      </c>
      <c r="H33">
        <f>IF(B33&gt;0, MAXIFS(Calculations!$D:$D, Calculations!$B:$B, A33), "")</f>
        <v/>
      </c>
      <c r="I33">
        <f>IF(B33&gt;0, AVERAGEIFS(Calculations!$E:$E, Calculations!$B:$B, A33), "")</f>
        <v/>
      </c>
      <c r="J33">
        <f>IF(B33&gt;0, MINIFS(Calculations!$E:$E, Calculations!$B:$B, A33), "")</f>
        <v/>
      </c>
      <c r="K33">
        <f>IF(B33&gt;0, MAXIFS(Calculations!$E:$E, Calculations!$B:$B, A33), "")</f>
        <v/>
      </c>
      <c r="L33">
        <f>IF(COUNTIFS(Calculations!$B:$B, A33, Calculations!$E:$E, "&gt;=65")&gt;0, AVERAGEIFS(Calculations!$Y:$Y, Calculations!$B:$B, A33, Calculations!$E:$E, "&gt;=65"), "")</f>
        <v/>
      </c>
      <c r="M33">
        <f>IF(COUNTIFS(Calculations!$B:$B, A33, Calculations!$E:$E, "&gt;=65")&gt;0, MINIFS(Calculations!$Y:$Y, Calculations!$B:$B, A33, Calculations!$E:$E, "&gt;=65"), "")</f>
        <v/>
      </c>
      <c r="N33">
        <f>IF(COUNTIFS(Calculations!$B:$B, A33, Calculations!$E:$E, "&gt;=65")&gt;0, MAXIFS(Calculations!$Y:$Y, Calculations!$B:$B, A33, Calculations!$E:$E, "&gt;=65"), "")</f>
        <v/>
      </c>
    </row>
    <row r="34">
      <c r="A34" t="n">
        <v>50</v>
      </c>
      <c r="B34">
        <f>COUNTIFS(Calculations!$B:$B, A34)</f>
        <v/>
      </c>
      <c r="C34">
        <f>IF(B34&gt;0, AVERAGEIFS(Calculations!$C:$C, Calculations!$B:$B, A34), "")</f>
        <v/>
      </c>
      <c r="D34">
        <f>IF(B34&gt;0, MINIFS(Calculations!$C:$C, Calculations!$B:$B, A34), "")</f>
        <v/>
      </c>
      <c r="E34">
        <f>IF(B34&gt;0, MAXIFS(Calculations!$C:$C, Calculations!$B:$B, A34), "")</f>
        <v/>
      </c>
      <c r="F34">
        <f>IF(B34&gt;0, AVERAGEIFS(Calculations!$D:$D, Calculations!$B:$B, A34), "")</f>
        <v/>
      </c>
      <c r="G34">
        <f>IF(B34&gt;0, MINIFS(Calculations!$D:$D, Calculations!$B:$B, A34), "")</f>
        <v/>
      </c>
      <c r="H34">
        <f>IF(B34&gt;0, MAXIFS(Calculations!$D:$D, Calculations!$B:$B, A34), "")</f>
        <v/>
      </c>
      <c r="I34">
        <f>IF(B34&gt;0, AVERAGEIFS(Calculations!$E:$E, Calculations!$B:$B, A34), "")</f>
        <v/>
      </c>
      <c r="J34">
        <f>IF(B34&gt;0, MINIFS(Calculations!$E:$E, Calculations!$B:$B, A34), "")</f>
        <v/>
      </c>
      <c r="K34">
        <f>IF(B34&gt;0, MAXIFS(Calculations!$E:$E, Calculations!$B:$B, A34), "")</f>
        <v/>
      </c>
      <c r="L34">
        <f>IF(COUNTIFS(Calculations!$B:$B, A34, Calculations!$E:$E, "&gt;=65")&gt;0, AVERAGEIFS(Calculations!$Y:$Y, Calculations!$B:$B, A34, Calculations!$E:$E, "&gt;=65"), "")</f>
        <v/>
      </c>
      <c r="M34">
        <f>IF(COUNTIFS(Calculations!$B:$B, A34, Calculations!$E:$E, "&gt;=65")&gt;0, MINIFS(Calculations!$Y:$Y, Calculations!$B:$B, A34, Calculations!$E:$E, "&gt;=65"), "")</f>
        <v/>
      </c>
      <c r="N34">
        <f>IF(COUNTIFS(Calculations!$B:$B, A34, Calculations!$E:$E, "&gt;=65")&gt;0, MAXIFS(Calculations!$Y:$Y, Calculations!$B:$B, A34, Calculations!$E:$E, "&gt;=65"), "")</f>
        <v/>
      </c>
    </row>
    <row r="35">
      <c r="A35" t="n">
        <v>51</v>
      </c>
      <c r="B35">
        <f>COUNTIFS(Calculations!$B:$B, A35)</f>
        <v/>
      </c>
      <c r="C35">
        <f>IF(B35&gt;0, AVERAGEIFS(Calculations!$C:$C, Calculations!$B:$B, A35), "")</f>
        <v/>
      </c>
      <c r="D35">
        <f>IF(B35&gt;0, MINIFS(Calculations!$C:$C, Calculations!$B:$B, A35), "")</f>
        <v/>
      </c>
      <c r="E35">
        <f>IF(B35&gt;0, MAXIFS(Calculations!$C:$C, Calculations!$B:$B, A35), "")</f>
        <v/>
      </c>
      <c r="F35">
        <f>IF(B35&gt;0, AVERAGEIFS(Calculations!$D:$D, Calculations!$B:$B, A35), "")</f>
        <v/>
      </c>
      <c r="G35">
        <f>IF(B35&gt;0, MINIFS(Calculations!$D:$D, Calculations!$B:$B, A35), "")</f>
        <v/>
      </c>
      <c r="H35">
        <f>IF(B35&gt;0, MAXIFS(Calculations!$D:$D, Calculations!$B:$B, A35), "")</f>
        <v/>
      </c>
      <c r="I35">
        <f>IF(B35&gt;0, AVERAGEIFS(Calculations!$E:$E, Calculations!$B:$B, A35), "")</f>
        <v/>
      </c>
      <c r="J35">
        <f>IF(B35&gt;0, MINIFS(Calculations!$E:$E, Calculations!$B:$B, A35), "")</f>
        <v/>
      </c>
      <c r="K35">
        <f>IF(B35&gt;0, MAXIFS(Calculations!$E:$E, Calculations!$B:$B, A35), "")</f>
        <v/>
      </c>
      <c r="L35">
        <f>IF(COUNTIFS(Calculations!$B:$B, A35, Calculations!$E:$E, "&gt;=65")&gt;0, AVERAGEIFS(Calculations!$Y:$Y, Calculations!$B:$B, A35, Calculations!$E:$E, "&gt;=65"), "")</f>
        <v/>
      </c>
      <c r="M35">
        <f>IF(COUNTIFS(Calculations!$B:$B, A35, Calculations!$E:$E, "&gt;=65")&gt;0, MINIFS(Calculations!$Y:$Y, Calculations!$B:$B, A35, Calculations!$E:$E, "&gt;=65"), "")</f>
        <v/>
      </c>
      <c r="N35">
        <f>IF(COUNTIFS(Calculations!$B:$B, A35, Calculations!$E:$E, "&gt;=65")&gt;0, MAXIFS(Calculations!$Y:$Y, Calculations!$B:$B, A35, Calculations!$E:$E, "&gt;=65"), "")</f>
        <v/>
      </c>
    </row>
    <row r="36">
      <c r="A36" t="n">
        <v>52</v>
      </c>
      <c r="B36">
        <f>COUNTIFS(Calculations!$B:$B, A36)</f>
        <v/>
      </c>
      <c r="C36">
        <f>IF(B36&gt;0, AVERAGEIFS(Calculations!$C:$C, Calculations!$B:$B, A36), "")</f>
        <v/>
      </c>
      <c r="D36">
        <f>IF(B36&gt;0, MINIFS(Calculations!$C:$C, Calculations!$B:$B, A36), "")</f>
        <v/>
      </c>
      <c r="E36">
        <f>IF(B36&gt;0, MAXIFS(Calculations!$C:$C, Calculations!$B:$B, A36), "")</f>
        <v/>
      </c>
      <c r="F36">
        <f>IF(B36&gt;0, AVERAGEIFS(Calculations!$D:$D, Calculations!$B:$B, A36), "")</f>
        <v/>
      </c>
      <c r="G36">
        <f>IF(B36&gt;0, MINIFS(Calculations!$D:$D, Calculations!$B:$B, A36), "")</f>
        <v/>
      </c>
      <c r="H36">
        <f>IF(B36&gt;0, MAXIFS(Calculations!$D:$D, Calculations!$B:$B, A36), "")</f>
        <v/>
      </c>
      <c r="I36">
        <f>IF(B36&gt;0, AVERAGEIFS(Calculations!$E:$E, Calculations!$B:$B, A36), "")</f>
        <v/>
      </c>
      <c r="J36">
        <f>IF(B36&gt;0, MINIFS(Calculations!$E:$E, Calculations!$B:$B, A36), "")</f>
        <v/>
      </c>
      <c r="K36">
        <f>IF(B36&gt;0, MAXIFS(Calculations!$E:$E, Calculations!$B:$B, A36), "")</f>
        <v/>
      </c>
      <c r="L36">
        <f>IF(COUNTIFS(Calculations!$B:$B, A36, Calculations!$E:$E, "&gt;=65")&gt;0, AVERAGEIFS(Calculations!$Y:$Y, Calculations!$B:$B, A36, Calculations!$E:$E, "&gt;=65"), "")</f>
        <v/>
      </c>
      <c r="M36">
        <f>IF(COUNTIFS(Calculations!$B:$B, A36, Calculations!$E:$E, "&gt;=65")&gt;0, MINIFS(Calculations!$Y:$Y, Calculations!$B:$B, A36, Calculations!$E:$E, "&gt;=65"), "")</f>
        <v/>
      </c>
      <c r="N36">
        <f>IF(COUNTIFS(Calculations!$B:$B, A36, Calculations!$E:$E, "&gt;=65")&gt;0, MAXIFS(Calculations!$Y:$Y, Calculations!$B:$B, A36, Calculations!$E:$E, "&gt;=65"), "")</f>
        <v/>
      </c>
    </row>
    <row r="37">
      <c r="A37" t="n">
        <v>53</v>
      </c>
      <c r="B37">
        <f>COUNTIFS(Calculations!$B:$B, A37)</f>
        <v/>
      </c>
      <c r="C37">
        <f>IF(B37&gt;0, AVERAGEIFS(Calculations!$C:$C, Calculations!$B:$B, A37), "")</f>
        <v/>
      </c>
      <c r="D37">
        <f>IF(B37&gt;0, MINIFS(Calculations!$C:$C, Calculations!$B:$B, A37), "")</f>
        <v/>
      </c>
      <c r="E37">
        <f>IF(B37&gt;0, MAXIFS(Calculations!$C:$C, Calculations!$B:$B, A37), "")</f>
        <v/>
      </c>
      <c r="F37">
        <f>IF(B37&gt;0, AVERAGEIFS(Calculations!$D:$D, Calculations!$B:$B, A37), "")</f>
        <v/>
      </c>
      <c r="G37">
        <f>IF(B37&gt;0, MINIFS(Calculations!$D:$D, Calculations!$B:$B, A37), "")</f>
        <v/>
      </c>
      <c r="H37">
        <f>IF(B37&gt;0, MAXIFS(Calculations!$D:$D, Calculations!$B:$B, A37), "")</f>
        <v/>
      </c>
      <c r="I37">
        <f>IF(B37&gt;0, AVERAGEIFS(Calculations!$E:$E, Calculations!$B:$B, A37), "")</f>
        <v/>
      </c>
      <c r="J37">
        <f>IF(B37&gt;0, MINIFS(Calculations!$E:$E, Calculations!$B:$B, A37), "")</f>
        <v/>
      </c>
      <c r="K37">
        <f>IF(B37&gt;0, MAXIFS(Calculations!$E:$E, Calculations!$B:$B, A37), "")</f>
        <v/>
      </c>
      <c r="L37">
        <f>IF(COUNTIFS(Calculations!$B:$B, A37, Calculations!$E:$E, "&gt;=65")&gt;0, AVERAGEIFS(Calculations!$Y:$Y, Calculations!$B:$B, A37, Calculations!$E:$E, "&gt;=65"), "")</f>
        <v/>
      </c>
      <c r="M37">
        <f>IF(COUNTIFS(Calculations!$B:$B, A37, Calculations!$E:$E, "&gt;=65")&gt;0, MINIFS(Calculations!$Y:$Y, Calculations!$B:$B, A37, Calculations!$E:$E, "&gt;=65"), "")</f>
        <v/>
      </c>
      <c r="N37">
        <f>IF(COUNTIFS(Calculations!$B:$B, A37, Calculations!$E:$E, "&gt;=65")&gt;0, MAXIFS(Calculations!$Y:$Y, Calculations!$B:$B, A37, Calculations!$E:$E, "&gt;=65"), "")</f>
        <v/>
      </c>
    </row>
    <row r="38">
      <c r="A38" t="n">
        <v>54</v>
      </c>
      <c r="B38">
        <f>COUNTIFS(Calculations!$B:$B, A38)</f>
        <v/>
      </c>
      <c r="C38">
        <f>IF(B38&gt;0, AVERAGEIFS(Calculations!$C:$C, Calculations!$B:$B, A38), "")</f>
        <v/>
      </c>
      <c r="D38">
        <f>IF(B38&gt;0, MINIFS(Calculations!$C:$C, Calculations!$B:$B, A38), "")</f>
        <v/>
      </c>
      <c r="E38">
        <f>IF(B38&gt;0, MAXIFS(Calculations!$C:$C, Calculations!$B:$B, A38), "")</f>
        <v/>
      </c>
      <c r="F38">
        <f>IF(B38&gt;0, AVERAGEIFS(Calculations!$D:$D, Calculations!$B:$B, A38), "")</f>
        <v/>
      </c>
      <c r="G38">
        <f>IF(B38&gt;0, MINIFS(Calculations!$D:$D, Calculations!$B:$B, A38), "")</f>
        <v/>
      </c>
      <c r="H38">
        <f>IF(B38&gt;0, MAXIFS(Calculations!$D:$D, Calculations!$B:$B, A38), "")</f>
        <v/>
      </c>
      <c r="I38">
        <f>IF(B38&gt;0, AVERAGEIFS(Calculations!$E:$E, Calculations!$B:$B, A38), "")</f>
        <v/>
      </c>
      <c r="J38">
        <f>IF(B38&gt;0, MINIFS(Calculations!$E:$E, Calculations!$B:$B, A38), "")</f>
        <v/>
      </c>
      <c r="K38">
        <f>IF(B38&gt;0, MAXIFS(Calculations!$E:$E, Calculations!$B:$B, A38), "")</f>
        <v/>
      </c>
      <c r="L38">
        <f>IF(COUNTIFS(Calculations!$B:$B, A38, Calculations!$E:$E, "&gt;=65")&gt;0, AVERAGEIFS(Calculations!$Y:$Y, Calculations!$B:$B, A38, Calculations!$E:$E, "&gt;=65"), "")</f>
        <v/>
      </c>
      <c r="M38">
        <f>IF(COUNTIFS(Calculations!$B:$B, A38, Calculations!$E:$E, "&gt;=65")&gt;0, MINIFS(Calculations!$Y:$Y, Calculations!$B:$B, A38, Calculations!$E:$E, "&gt;=65"), "")</f>
        <v/>
      </c>
      <c r="N38">
        <f>IF(COUNTIFS(Calculations!$B:$B, A38, Calculations!$E:$E, "&gt;=65")&gt;0, MAXIFS(Calculations!$Y:$Y, Calculations!$B:$B, A38, Calculations!$E:$E, "&gt;=65"), "")</f>
        <v/>
      </c>
    </row>
    <row r="39">
      <c r="A39" t="n">
        <v>55</v>
      </c>
      <c r="B39">
        <f>COUNTIFS(Calculations!$B:$B, A39)</f>
        <v/>
      </c>
      <c r="C39">
        <f>IF(B39&gt;0, AVERAGEIFS(Calculations!$C:$C, Calculations!$B:$B, A39), "")</f>
        <v/>
      </c>
      <c r="D39">
        <f>IF(B39&gt;0, MINIFS(Calculations!$C:$C, Calculations!$B:$B, A39), "")</f>
        <v/>
      </c>
      <c r="E39">
        <f>IF(B39&gt;0, MAXIFS(Calculations!$C:$C, Calculations!$B:$B, A39), "")</f>
        <v/>
      </c>
      <c r="F39">
        <f>IF(B39&gt;0, AVERAGEIFS(Calculations!$D:$D, Calculations!$B:$B, A39), "")</f>
        <v/>
      </c>
      <c r="G39">
        <f>IF(B39&gt;0, MINIFS(Calculations!$D:$D, Calculations!$B:$B, A39), "")</f>
        <v/>
      </c>
      <c r="H39">
        <f>IF(B39&gt;0, MAXIFS(Calculations!$D:$D, Calculations!$B:$B, A39), "")</f>
        <v/>
      </c>
      <c r="I39">
        <f>IF(B39&gt;0, AVERAGEIFS(Calculations!$E:$E, Calculations!$B:$B, A39), "")</f>
        <v/>
      </c>
      <c r="J39">
        <f>IF(B39&gt;0, MINIFS(Calculations!$E:$E, Calculations!$B:$B, A39), "")</f>
        <v/>
      </c>
      <c r="K39">
        <f>IF(B39&gt;0, MAXIFS(Calculations!$E:$E, Calculations!$B:$B, A39), "")</f>
        <v/>
      </c>
      <c r="L39">
        <f>IF(COUNTIFS(Calculations!$B:$B, A39, Calculations!$E:$E, "&gt;=65")&gt;0, AVERAGEIFS(Calculations!$Y:$Y, Calculations!$B:$B, A39, Calculations!$E:$E, "&gt;=65"), "")</f>
        <v/>
      </c>
      <c r="M39">
        <f>IF(COUNTIFS(Calculations!$B:$B, A39, Calculations!$E:$E, "&gt;=65")&gt;0, MINIFS(Calculations!$Y:$Y, Calculations!$B:$B, A39, Calculations!$E:$E, "&gt;=65"), "")</f>
        <v/>
      </c>
      <c r="N39">
        <f>IF(COUNTIFS(Calculations!$B:$B, A39, Calculations!$E:$E, "&gt;=65")&gt;0, MAXIFS(Calculations!$Y:$Y, Calculations!$B:$B, A39, Calculations!$E:$E, "&gt;=65"), "")</f>
        <v/>
      </c>
    </row>
    <row r="40">
      <c r="A40" t="n">
        <v>56</v>
      </c>
      <c r="B40">
        <f>COUNTIFS(Calculations!$B:$B, A40)</f>
        <v/>
      </c>
      <c r="C40">
        <f>IF(B40&gt;0, AVERAGEIFS(Calculations!$C:$C, Calculations!$B:$B, A40), "")</f>
        <v/>
      </c>
      <c r="D40">
        <f>IF(B40&gt;0, MINIFS(Calculations!$C:$C, Calculations!$B:$B, A40), "")</f>
        <v/>
      </c>
      <c r="E40">
        <f>IF(B40&gt;0, MAXIFS(Calculations!$C:$C, Calculations!$B:$B, A40), "")</f>
        <v/>
      </c>
      <c r="F40">
        <f>IF(B40&gt;0, AVERAGEIFS(Calculations!$D:$D, Calculations!$B:$B, A40), "")</f>
        <v/>
      </c>
      <c r="G40">
        <f>IF(B40&gt;0, MINIFS(Calculations!$D:$D, Calculations!$B:$B, A40), "")</f>
        <v/>
      </c>
      <c r="H40">
        <f>IF(B40&gt;0, MAXIFS(Calculations!$D:$D, Calculations!$B:$B, A40), "")</f>
        <v/>
      </c>
      <c r="I40">
        <f>IF(B40&gt;0, AVERAGEIFS(Calculations!$E:$E, Calculations!$B:$B, A40), "")</f>
        <v/>
      </c>
      <c r="J40">
        <f>IF(B40&gt;0, MINIFS(Calculations!$E:$E, Calculations!$B:$B, A40), "")</f>
        <v/>
      </c>
      <c r="K40">
        <f>IF(B40&gt;0, MAXIFS(Calculations!$E:$E, Calculations!$B:$B, A40), "")</f>
        <v/>
      </c>
      <c r="L40">
        <f>IF(COUNTIFS(Calculations!$B:$B, A40, Calculations!$E:$E, "&gt;=65")&gt;0, AVERAGEIFS(Calculations!$Y:$Y, Calculations!$B:$B, A40, Calculations!$E:$E, "&gt;=65"), "")</f>
        <v/>
      </c>
      <c r="M40">
        <f>IF(COUNTIFS(Calculations!$B:$B, A40, Calculations!$E:$E, "&gt;=65")&gt;0, MINIFS(Calculations!$Y:$Y, Calculations!$B:$B, A40, Calculations!$E:$E, "&gt;=65"), "")</f>
        <v/>
      </c>
      <c r="N40">
        <f>IF(COUNTIFS(Calculations!$B:$B, A40, Calculations!$E:$E, "&gt;=65")&gt;0, MAXIFS(Calculations!$Y:$Y, Calculations!$B:$B, A40, Calculations!$E:$E, "&gt;=65"), "")</f>
        <v/>
      </c>
    </row>
    <row r="41">
      <c r="A41" t="n">
        <v>57</v>
      </c>
      <c r="B41">
        <f>COUNTIFS(Calculations!$B:$B, A41)</f>
        <v/>
      </c>
      <c r="C41">
        <f>IF(B41&gt;0, AVERAGEIFS(Calculations!$C:$C, Calculations!$B:$B, A41), "")</f>
        <v/>
      </c>
      <c r="D41">
        <f>IF(B41&gt;0, MINIFS(Calculations!$C:$C, Calculations!$B:$B, A41), "")</f>
        <v/>
      </c>
      <c r="E41">
        <f>IF(B41&gt;0, MAXIFS(Calculations!$C:$C, Calculations!$B:$B, A41), "")</f>
        <v/>
      </c>
      <c r="F41">
        <f>IF(B41&gt;0, AVERAGEIFS(Calculations!$D:$D, Calculations!$B:$B, A41), "")</f>
        <v/>
      </c>
      <c r="G41">
        <f>IF(B41&gt;0, MINIFS(Calculations!$D:$D, Calculations!$B:$B, A41), "")</f>
        <v/>
      </c>
      <c r="H41">
        <f>IF(B41&gt;0, MAXIFS(Calculations!$D:$D, Calculations!$B:$B, A41), "")</f>
        <v/>
      </c>
      <c r="I41">
        <f>IF(B41&gt;0, AVERAGEIFS(Calculations!$E:$E, Calculations!$B:$B, A41), "")</f>
        <v/>
      </c>
      <c r="J41">
        <f>IF(B41&gt;0, MINIFS(Calculations!$E:$E, Calculations!$B:$B, A41), "")</f>
        <v/>
      </c>
      <c r="K41">
        <f>IF(B41&gt;0, MAXIFS(Calculations!$E:$E, Calculations!$B:$B, A41), "")</f>
        <v/>
      </c>
      <c r="L41">
        <f>IF(COUNTIFS(Calculations!$B:$B, A41, Calculations!$E:$E, "&gt;=65")&gt;0, AVERAGEIFS(Calculations!$Y:$Y, Calculations!$B:$B, A41, Calculations!$E:$E, "&gt;=65"), "")</f>
        <v/>
      </c>
      <c r="M41">
        <f>IF(COUNTIFS(Calculations!$B:$B, A41, Calculations!$E:$E, "&gt;=65")&gt;0, MINIFS(Calculations!$Y:$Y, Calculations!$B:$B, A41, Calculations!$E:$E, "&gt;=65"), "")</f>
        <v/>
      </c>
      <c r="N41">
        <f>IF(COUNTIFS(Calculations!$B:$B, A41, Calculations!$E:$E, "&gt;=65")&gt;0, MAXIFS(Calculations!$Y:$Y, Calculations!$B:$B, A41, Calculations!$E:$E, "&gt;=65"), "")</f>
        <v/>
      </c>
    </row>
    <row r="42">
      <c r="A42" t="n">
        <v>58</v>
      </c>
      <c r="B42">
        <f>COUNTIFS(Calculations!$B:$B, A42)</f>
        <v/>
      </c>
      <c r="C42">
        <f>IF(B42&gt;0, AVERAGEIFS(Calculations!$C:$C, Calculations!$B:$B, A42), "")</f>
        <v/>
      </c>
      <c r="D42">
        <f>IF(B42&gt;0, MINIFS(Calculations!$C:$C, Calculations!$B:$B, A42), "")</f>
        <v/>
      </c>
      <c r="E42">
        <f>IF(B42&gt;0, MAXIFS(Calculations!$C:$C, Calculations!$B:$B, A42), "")</f>
        <v/>
      </c>
      <c r="F42">
        <f>IF(B42&gt;0, AVERAGEIFS(Calculations!$D:$D, Calculations!$B:$B, A42), "")</f>
        <v/>
      </c>
      <c r="G42">
        <f>IF(B42&gt;0, MINIFS(Calculations!$D:$D, Calculations!$B:$B, A42), "")</f>
        <v/>
      </c>
      <c r="H42">
        <f>IF(B42&gt;0, MAXIFS(Calculations!$D:$D, Calculations!$B:$B, A42), "")</f>
        <v/>
      </c>
      <c r="I42">
        <f>IF(B42&gt;0, AVERAGEIFS(Calculations!$E:$E, Calculations!$B:$B, A42), "")</f>
        <v/>
      </c>
      <c r="J42">
        <f>IF(B42&gt;0, MINIFS(Calculations!$E:$E, Calculations!$B:$B, A42), "")</f>
        <v/>
      </c>
      <c r="K42">
        <f>IF(B42&gt;0, MAXIFS(Calculations!$E:$E, Calculations!$B:$B, A42), "")</f>
        <v/>
      </c>
      <c r="L42">
        <f>IF(COUNTIFS(Calculations!$B:$B, A42, Calculations!$E:$E, "&gt;=65")&gt;0, AVERAGEIFS(Calculations!$Y:$Y, Calculations!$B:$B, A42, Calculations!$E:$E, "&gt;=65"), "")</f>
        <v/>
      </c>
      <c r="M42">
        <f>IF(COUNTIFS(Calculations!$B:$B, A42, Calculations!$E:$E, "&gt;=65")&gt;0, MINIFS(Calculations!$Y:$Y, Calculations!$B:$B, A42, Calculations!$E:$E, "&gt;=65"), "")</f>
        <v/>
      </c>
      <c r="N42">
        <f>IF(COUNTIFS(Calculations!$B:$B, A42, Calculations!$E:$E, "&gt;=65")&gt;0, MAXIFS(Calculations!$Y:$Y, Calculations!$B:$B, A42, Calculations!$E:$E, "&gt;=65"), "")</f>
        <v/>
      </c>
    </row>
    <row r="43">
      <c r="A43" t="n">
        <v>59</v>
      </c>
      <c r="B43">
        <f>COUNTIFS(Calculations!$B:$B, A43)</f>
        <v/>
      </c>
      <c r="C43">
        <f>IF(B43&gt;0, AVERAGEIFS(Calculations!$C:$C, Calculations!$B:$B, A43), "")</f>
        <v/>
      </c>
      <c r="D43">
        <f>IF(B43&gt;0, MINIFS(Calculations!$C:$C, Calculations!$B:$B, A43), "")</f>
        <v/>
      </c>
      <c r="E43">
        <f>IF(B43&gt;0, MAXIFS(Calculations!$C:$C, Calculations!$B:$B, A43), "")</f>
        <v/>
      </c>
      <c r="F43">
        <f>IF(B43&gt;0, AVERAGEIFS(Calculations!$D:$D, Calculations!$B:$B, A43), "")</f>
        <v/>
      </c>
      <c r="G43">
        <f>IF(B43&gt;0, MINIFS(Calculations!$D:$D, Calculations!$B:$B, A43), "")</f>
        <v/>
      </c>
      <c r="H43">
        <f>IF(B43&gt;0, MAXIFS(Calculations!$D:$D, Calculations!$B:$B, A43), "")</f>
        <v/>
      </c>
      <c r="I43">
        <f>IF(B43&gt;0, AVERAGEIFS(Calculations!$E:$E, Calculations!$B:$B, A43), "")</f>
        <v/>
      </c>
      <c r="J43">
        <f>IF(B43&gt;0, MINIFS(Calculations!$E:$E, Calculations!$B:$B, A43), "")</f>
        <v/>
      </c>
      <c r="K43">
        <f>IF(B43&gt;0, MAXIFS(Calculations!$E:$E, Calculations!$B:$B, A43), "")</f>
        <v/>
      </c>
      <c r="L43">
        <f>IF(COUNTIFS(Calculations!$B:$B, A43, Calculations!$E:$E, "&gt;=65")&gt;0, AVERAGEIFS(Calculations!$Y:$Y, Calculations!$B:$B, A43, Calculations!$E:$E, "&gt;=65"), "")</f>
        <v/>
      </c>
      <c r="M43">
        <f>IF(COUNTIFS(Calculations!$B:$B, A43, Calculations!$E:$E, "&gt;=65")&gt;0, MINIFS(Calculations!$Y:$Y, Calculations!$B:$B, A43, Calculations!$E:$E, "&gt;=65"), "")</f>
        <v/>
      </c>
      <c r="N43">
        <f>IF(COUNTIFS(Calculations!$B:$B, A43, Calculations!$E:$E, "&gt;=65")&gt;0, MAXIFS(Calculations!$Y:$Y, Calculations!$B:$B, A43, Calculations!$E:$E, "&gt;=65"), "")</f>
        <v/>
      </c>
    </row>
    <row r="44">
      <c r="A44" t="n">
        <v>60</v>
      </c>
      <c r="B44">
        <f>COUNTIFS(Calculations!$B:$B, A44)</f>
        <v/>
      </c>
      <c r="C44">
        <f>IF(B44&gt;0, AVERAGEIFS(Calculations!$C:$C, Calculations!$B:$B, A44), "")</f>
        <v/>
      </c>
      <c r="D44">
        <f>IF(B44&gt;0, MINIFS(Calculations!$C:$C, Calculations!$B:$B, A44), "")</f>
        <v/>
      </c>
      <c r="E44">
        <f>IF(B44&gt;0, MAXIFS(Calculations!$C:$C, Calculations!$B:$B, A44), "")</f>
        <v/>
      </c>
      <c r="F44">
        <f>IF(B44&gt;0, AVERAGEIFS(Calculations!$D:$D, Calculations!$B:$B, A44), "")</f>
        <v/>
      </c>
      <c r="G44">
        <f>IF(B44&gt;0, MINIFS(Calculations!$D:$D, Calculations!$B:$B, A44), "")</f>
        <v/>
      </c>
      <c r="H44">
        <f>IF(B44&gt;0, MAXIFS(Calculations!$D:$D, Calculations!$B:$B, A44), "")</f>
        <v/>
      </c>
      <c r="I44">
        <f>IF(B44&gt;0, AVERAGEIFS(Calculations!$E:$E, Calculations!$B:$B, A44), "")</f>
        <v/>
      </c>
      <c r="J44">
        <f>IF(B44&gt;0, MINIFS(Calculations!$E:$E, Calculations!$B:$B, A44), "")</f>
        <v/>
      </c>
      <c r="K44">
        <f>IF(B44&gt;0, MAXIFS(Calculations!$E:$E, Calculations!$B:$B, A44), "")</f>
        <v/>
      </c>
      <c r="L44">
        <f>IF(COUNTIFS(Calculations!$B:$B, A44, Calculations!$E:$E, "&gt;=65")&gt;0, AVERAGEIFS(Calculations!$Y:$Y, Calculations!$B:$B, A44, Calculations!$E:$E, "&gt;=65"), "")</f>
        <v/>
      </c>
      <c r="M44">
        <f>IF(COUNTIFS(Calculations!$B:$B, A44, Calculations!$E:$E, "&gt;=65")&gt;0, MINIFS(Calculations!$Y:$Y, Calculations!$B:$B, A44, Calculations!$E:$E, "&gt;=65"), "")</f>
        <v/>
      </c>
      <c r="N44">
        <f>IF(COUNTIFS(Calculations!$B:$B, A44, Calculations!$E:$E, "&gt;=65")&gt;0, MAXIFS(Calculations!$Y:$Y, Calculations!$B:$B, A44, Calculations!$E:$E, "&gt;=65"), 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Name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Equation of Value (Target = 0.8 * PV Net Contribs)</t>
        </is>
      </c>
      <c r="B2">
        <f>SUM(Calculations!$L:$L) * Parameters!$B$8</f>
        <v/>
      </c>
      <c r="C2">
        <f>SUM(Calculations!$X:$X)</f>
        <v/>
      </c>
      <c r="D2" s="6">
        <f>IF(ABS(B2-C2)&lt;0.01, "OK", 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2026-02-20T21:14:13Z</dcterms:created>
  <dcterms:modified xsi:type="dcterms:W3CDTF">2026-02-20T21:14:13Z</dcterms:modified>
</cp:coreProperties>
</file>