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rameters" sheetId="1" state="visible" r:id="rId1"/>
    <sheet name="Data" sheetId="2" state="visible" r:id="rId2"/>
    <sheet name="Calculations-Base" sheetId="3" state="visible" r:id="rId3"/>
    <sheet name="Total profit-Base" sheetId="4" state="visible" r:id="rId4"/>
    <sheet name="Calculations-Weight" sheetId="5" state="visible" r:id="rId5"/>
    <sheet name="Total profit-Weight" sheetId="6" state="visible" r:id="rId6"/>
    <sheet name="Proposals" sheetId="7" state="visible" r:id="rId7"/>
  </sheets>
  <definedNames>
    <definedName name="CarData">Parameters!$A$13:$I$20</definedName>
    <definedName name="Header">Parameters!$A$13:$I$13</definedName>
    <definedName name="HeaderCol">Parameters!$A$13:$A$20</definedName>
    <definedName name="TaxCO2">Parameters!$A$3:$D$8</definedName>
    <definedName name="TaxWeight">Parameters!$F$3:$H$8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mmm\-yy_)"/>
  </numFmts>
  <fonts count="10">
    <font>
      <name val="Calibri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vertAlign val="subscript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7" tint="0.5999938962981048"/>
        <bgColor theme="7" tint="0.5999938962981048"/>
      </patternFill>
    </fill>
    <fill>
      <patternFill patternType="solid">
        <fgColor rgb="004F81BD"/>
        <bgColor rgb="004F81BD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7" fillId="0" borderId="0"/>
  </cellStyleXfs>
  <cellXfs count="1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11" pivotButton="0" quotePrefix="0" xfId="0"/>
    <xf numFmtId="0" fontId="2" fillId="0" borderId="12" pivotButton="0" quotePrefix="0" xfId="0"/>
    <xf numFmtId="164" fontId="7" fillId="0" borderId="14" pivotButton="0" quotePrefix="0" xfId="1"/>
    <xf numFmtId="0" fontId="0" fillId="0" borderId="15" pivotButton="0" quotePrefix="0" xfId="0"/>
    <xf numFmtId="164" fontId="7" fillId="0" borderId="15" pivotButton="0" quotePrefix="0" xfId="1"/>
    <xf numFmtId="164" fontId="7" fillId="0" borderId="0" pivotButton="0" quotePrefix="0" xfId="1"/>
    <xf numFmtId="164" fontId="7" fillId="0" borderId="1" pivotButton="0" quotePrefix="0" xfId="1"/>
    <xf numFmtId="164" fontId="7" fillId="0" borderId="5" pivotButton="0" quotePrefix="0" xfId="1"/>
    <xf numFmtId="164" fontId="7" fillId="0" borderId="16" pivotButton="0" quotePrefix="0" xfId="1"/>
    <xf numFmtId="164" fontId="7" fillId="0" borderId="17" pivotButton="0" quotePrefix="0" xfId="1"/>
    <xf numFmtId="0" fontId="0" fillId="0" borderId="18" pivotButton="0" quotePrefix="0" xfId="0"/>
    <xf numFmtId="164" fontId="7" fillId="0" borderId="18" pivotButton="0" quotePrefix="0" xfId="1"/>
    <xf numFmtId="164" fontId="7" fillId="0" borderId="19" pivotButton="0" quotePrefix="0" xfId="1"/>
    <xf numFmtId="164" fontId="7" fillId="0" borderId="20" pivotButton="0" quotePrefix="0" xfId="1"/>
    <xf numFmtId="164" fontId="7" fillId="0" borderId="7" pivotButton="0" quotePrefix="0" xfId="1"/>
    <xf numFmtId="0" fontId="0" fillId="0" borderId="8" pivotButton="0" quotePrefix="0" xfId="0"/>
    <xf numFmtId="164" fontId="7" fillId="0" borderId="8" pivotButton="0" quotePrefix="0" xfId="1"/>
    <xf numFmtId="0" fontId="0" fillId="0" borderId="21" pivotButton="0" quotePrefix="0" xfId="0"/>
    <xf numFmtId="164" fontId="7" fillId="0" borderId="22" pivotButton="0" quotePrefix="0" xfId="1"/>
    <xf numFmtId="0" fontId="2" fillId="0" borderId="16" pivotButton="0" quotePrefix="0" xfId="0"/>
    <xf numFmtId="0" fontId="2" fillId="0" borderId="23" applyAlignment="1" pivotButton="0" quotePrefix="0" xfId="0">
      <alignment wrapText="1"/>
    </xf>
    <xf numFmtId="0" fontId="2" fillId="0" borderId="24" applyAlignment="1" pivotButton="0" quotePrefix="0" xfId="0">
      <alignment wrapText="1"/>
    </xf>
    <xf numFmtId="0" fontId="2" fillId="0" borderId="24" pivotButton="0" quotePrefix="0" xfId="0"/>
    <xf numFmtId="0" fontId="2" fillId="0" borderId="2" applyAlignment="1" pivotButton="0" quotePrefix="0" xfId="0">
      <alignment wrapText="1"/>
    </xf>
    <xf numFmtId="0" fontId="2" fillId="0" borderId="22" pivotButton="0" quotePrefix="0" xfId="0"/>
    <xf numFmtId="0" fontId="2" fillId="0" borderId="25" applyAlignment="1" pivotButton="0" quotePrefix="0" xfId="0">
      <alignment wrapText="1"/>
    </xf>
    <xf numFmtId="0" fontId="2" fillId="0" borderId="26" applyAlignment="1" pivotButton="0" quotePrefix="0" xfId="0">
      <alignment wrapText="1"/>
    </xf>
    <xf numFmtId="0" fontId="2" fillId="0" borderId="26" pivotButton="0" quotePrefix="0" xfId="0"/>
    <xf numFmtId="0" fontId="2" fillId="0" borderId="8" applyAlignment="1" pivotButton="0" quotePrefix="0" xfId="0">
      <alignment wrapText="1"/>
    </xf>
    <xf numFmtId="0" fontId="2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2" borderId="29" pivotButton="0" quotePrefix="0" xfId="0"/>
    <xf numFmtId="164" fontId="7" fillId="0" borderId="29" pivotButton="0" quotePrefix="0" xfId="1"/>
    <xf numFmtId="9" fontId="0" fillId="0" borderId="29" pivotButton="0" quotePrefix="0" xfId="0"/>
    <xf numFmtId="0" fontId="2" fillId="0" borderId="2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2" borderId="31" pivotButton="0" quotePrefix="0" xfId="0"/>
    <xf numFmtId="164" fontId="7" fillId="0" borderId="31" pivotButton="0" quotePrefix="0" xfId="1"/>
    <xf numFmtId="9" fontId="0" fillId="0" borderId="31" pivotButton="0" quotePrefix="0" xfId="0"/>
    <xf numFmtId="0" fontId="0" fillId="0" borderId="25" pivotButton="0" quotePrefix="0" xfId="0"/>
    <xf numFmtId="0" fontId="0" fillId="2" borderId="26" pivotButton="0" quotePrefix="0" xfId="0"/>
    <xf numFmtId="0" fontId="0" fillId="0" borderId="26" pivotButton="0" quotePrefix="0" xfId="0"/>
    <xf numFmtId="164" fontId="7" fillId="0" borderId="26" pivotButton="0" quotePrefix="0" xfId="1"/>
    <xf numFmtId="9" fontId="0" fillId="0" borderId="26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31" pivotButton="0" quotePrefix="0" xfId="0"/>
    <xf numFmtId="165" fontId="4" fillId="0" borderId="31" applyAlignment="1" pivotButton="0" quotePrefix="1" xfId="0">
      <alignment horizontal="center"/>
    </xf>
    <xf numFmtId="165" fontId="4" fillId="0" borderId="30" applyAlignment="1" pivotButton="0" quotePrefix="1" xfId="0">
      <alignment horizontal="center"/>
    </xf>
    <xf numFmtId="0" fontId="4" fillId="0" borderId="31" applyAlignment="1" pivotButton="0" quotePrefix="1" xfId="0">
      <alignment horizontal="center"/>
    </xf>
    <xf numFmtId="0" fontId="5" fillId="0" borderId="31" pivotButton="0" quotePrefix="0" xfId="0"/>
    <xf numFmtId="3" fontId="5" fillId="0" borderId="30" applyAlignment="1" pivotButton="0" quotePrefix="0" xfId="0">
      <alignment horizontal="center"/>
    </xf>
    <xf numFmtId="3" fontId="5" fillId="0" borderId="31" applyAlignment="1" pivotButton="0" quotePrefix="0" xfId="0">
      <alignment horizontal="center"/>
    </xf>
    <xf numFmtId="3" fontId="4" fillId="0" borderId="31" applyAlignment="1" pivotButton="0" quotePrefix="0" xfId="0">
      <alignment horizontal="center"/>
    </xf>
    <xf numFmtId="0" fontId="6" fillId="0" borderId="0" pivotButton="0" quotePrefix="0" xfId="0"/>
    <xf numFmtId="0" fontId="1" fillId="0" borderId="19" pivotButton="0" quotePrefix="0" xfId="0"/>
    <xf numFmtId="0" fontId="0" fillId="0" borderId="32" pivotButton="0" quotePrefix="0" xfId="0"/>
    <xf numFmtId="0" fontId="1" fillId="0" borderId="32" pivotButton="0" quotePrefix="0" xfId="0"/>
    <xf numFmtId="0" fontId="1" fillId="0" borderId="30" pivotButton="0" quotePrefix="0" xfId="0"/>
    <xf numFmtId="0" fontId="2" fillId="0" borderId="31" pivotButton="0" quotePrefix="0" xfId="0"/>
    <xf numFmtId="0" fontId="2" fillId="0" borderId="31" applyAlignment="1" pivotButton="0" quotePrefix="0" xfId="0">
      <alignment wrapText="1"/>
    </xf>
    <xf numFmtId="164" fontId="7" fillId="3" borderId="31" pivotButton="0" quotePrefix="0" xfId="1"/>
    <xf numFmtId="0" fontId="0" fillId="0" borderId="33" pivotButton="0" quotePrefix="0" xfId="0"/>
    <xf numFmtId="0" fontId="0" fillId="0" borderId="12" pivotButton="0" quotePrefix="0" xfId="0"/>
    <xf numFmtId="0" fontId="0" fillId="0" borderId="34" pivotButton="0" quotePrefix="0" xfId="0"/>
    <xf numFmtId="0" fontId="0" fillId="0" borderId="35" pivotButton="0" quotePrefix="0" xfId="0"/>
    <xf numFmtId="0" fontId="2" fillId="0" borderId="36" pivotButton="0" quotePrefix="0" xfId="0"/>
    <xf numFmtId="0" fontId="0" fillId="0" borderId="37" pivotButton="0" quotePrefix="0" xfId="0"/>
    <xf numFmtId="164" fontId="7" fillId="0" borderId="38" pivotButton="0" quotePrefix="0" xfId="1"/>
    <xf numFmtId="0" fontId="2" fillId="0" borderId="36" applyAlignment="1" pivotButton="0" quotePrefix="0" xfId="0">
      <alignment wrapText="1"/>
    </xf>
    <xf numFmtId="164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164" fontId="0" fillId="0" borderId="28" pivotButton="0" quotePrefix="0" xfId="0"/>
    <xf numFmtId="164" fontId="2" fillId="0" borderId="0" applyAlignment="1" pivotButton="0" quotePrefix="0" xfId="0">
      <alignment horizontal="right" wrapText="1"/>
    </xf>
    <xf numFmtId="164" fontId="0" fillId="0" borderId="0" pivotButton="0" quotePrefix="0" xfId="0"/>
    <xf numFmtId="0" fontId="2" fillId="0" borderId="29" applyAlignment="1" pivotButton="0" quotePrefix="0" xfId="0">
      <alignment wrapText="1"/>
    </xf>
    <xf numFmtId="43" fontId="7" fillId="0" borderId="0" pivotButton="0" quotePrefix="0" xfId="1"/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23" pivotButton="0" quotePrefix="0" xfId="0"/>
    <xf numFmtId="0" fontId="2" fillId="0" borderId="43" applyAlignment="1" pivotButton="0" quotePrefix="0" xfId="0">
      <alignment horizontal="center"/>
    </xf>
    <xf numFmtId="0" fontId="2" fillId="0" borderId="46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164" fontId="7" fillId="0" borderId="14" pivotButton="0" quotePrefix="0" xfId="1"/>
    <xf numFmtId="164" fontId="7" fillId="0" borderId="15" pivotButton="0" quotePrefix="0" xfId="1"/>
    <xf numFmtId="164" fontId="7" fillId="0" borderId="0" pivotButton="0" quotePrefix="0" xfId="1"/>
    <xf numFmtId="164" fontId="7" fillId="0" borderId="1" pivotButton="0" quotePrefix="0" xfId="1"/>
    <xf numFmtId="164" fontId="7" fillId="0" borderId="5" pivotButton="0" quotePrefix="0" xfId="1"/>
    <xf numFmtId="164" fontId="7" fillId="0" borderId="16" pivotButton="0" quotePrefix="0" xfId="1"/>
    <xf numFmtId="164" fontId="7" fillId="0" borderId="17" pivotButton="0" quotePrefix="0" xfId="1"/>
    <xf numFmtId="164" fontId="7" fillId="0" borderId="18" pivotButton="0" quotePrefix="0" xfId="1"/>
    <xf numFmtId="164" fontId="7" fillId="0" borderId="19" pivotButton="0" quotePrefix="0" xfId="1"/>
    <xf numFmtId="164" fontId="7" fillId="0" borderId="20" pivotButton="0" quotePrefix="0" xfId="1"/>
    <xf numFmtId="164" fontId="7" fillId="0" borderId="7" pivotButton="0" quotePrefix="0" xfId="1"/>
    <xf numFmtId="164" fontId="7" fillId="0" borderId="8" pivotButton="0" quotePrefix="0" xfId="1"/>
    <xf numFmtId="164" fontId="7" fillId="0" borderId="22" pivotButton="0" quotePrefix="0" xfId="1"/>
    <xf numFmtId="164" fontId="7" fillId="0" borderId="29" pivotButton="0" quotePrefix="0" xfId="1"/>
    <xf numFmtId="164" fontId="7" fillId="0" borderId="31" pivotButton="0" quotePrefix="0" xfId="1"/>
    <xf numFmtId="164" fontId="7" fillId="0" borderId="26" pivotButton="0" quotePrefix="0" xfId="1"/>
    <xf numFmtId="165" fontId="4" fillId="0" borderId="31" applyAlignment="1" pivotButton="0" quotePrefix="1" xfId="0">
      <alignment horizontal="center"/>
    </xf>
    <xf numFmtId="165" fontId="4" fillId="0" borderId="30" applyAlignment="1" pivotButton="0" quotePrefix="1" xfId="0">
      <alignment horizontal="center"/>
    </xf>
    <xf numFmtId="164" fontId="7" fillId="3" borderId="31" pivotButton="0" quotePrefix="0" xfId="1"/>
    <xf numFmtId="164" fontId="7" fillId="0" borderId="38" pivotButton="0" quotePrefix="0" xfId="1"/>
    <xf numFmtId="164" fontId="0" fillId="0" borderId="38" pivotButton="0" quotePrefix="0" xfId="0"/>
    <xf numFmtId="164" fontId="0" fillId="0" borderId="28" pivotButton="0" quotePrefix="0" xfId="0"/>
    <xf numFmtId="164" fontId="2" fillId="0" borderId="0" applyAlignment="1" pivotButton="0" quotePrefix="0" xfId="0">
      <alignment horizontal="right" wrapText="1"/>
    </xf>
    <xf numFmtId="43" fontId="7" fillId="0" borderId="0" pivotButton="0" quotePrefix="0" xfId="1"/>
    <xf numFmtId="164" fontId="0" fillId="0" borderId="0" pivotButton="0" quotePrefix="0" xfId="0"/>
    <xf numFmtId="0" fontId="9" fillId="4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workbookViewId="0">
      <selection activeCell="A1" sqref="A1"/>
    </sheetView>
  </sheetViews>
  <sheetFormatPr baseColWidth="8" defaultColWidth="11.19921875" defaultRowHeight="15.6"/>
  <cols>
    <col width="23.8984375" customWidth="1" min="1" max="1"/>
    <col width="15.296875" customWidth="1" min="2" max="2"/>
    <col width="17" customWidth="1" min="3" max="3"/>
    <col width="15.19921875" bestFit="1" customWidth="1" min="5" max="6"/>
    <col width="11.796875" bestFit="1" customWidth="1" min="8" max="8"/>
    <col width="11" customWidth="1" min="9" max="9"/>
  </cols>
  <sheetData>
    <row r="1" ht="18" customHeight="1">
      <c r="A1" s="1" t="inlineStr">
        <is>
          <t>Parameters</t>
        </is>
      </c>
    </row>
    <row r="2">
      <c r="F2" s="2" t="inlineStr">
        <is>
          <t>Alternative</t>
        </is>
      </c>
    </row>
    <row r="3" ht="18" customHeight="1">
      <c r="A3" s="85" t="inlineStr">
        <is>
          <t>Tax - CO2 (g/km)</t>
        </is>
      </c>
      <c r="B3" s="94" t="n"/>
      <c r="C3" s="95" t="inlineStr">
        <is>
          <t>Year of purchase ($)</t>
        </is>
      </c>
      <c r="D3" s="96" t="inlineStr">
        <is>
          <t>Year 2-5 ($)</t>
        </is>
      </c>
      <c r="E3" s="2" t="n"/>
      <c r="F3" s="85" t="inlineStr">
        <is>
          <t>Tax - Weight (kg)</t>
        </is>
      </c>
      <c r="G3" s="94" t="n"/>
      <c r="H3" s="92" t="inlineStr">
        <is>
          <t>Amount ($)</t>
        </is>
      </c>
    </row>
    <row r="4">
      <c r="A4" s="3" t="inlineStr">
        <is>
          <t>from</t>
        </is>
      </c>
      <c r="B4" s="4" t="inlineStr">
        <is>
          <t>to</t>
        </is>
      </c>
      <c r="C4" s="97" t="n"/>
      <c r="D4" s="98" t="n"/>
      <c r="E4" s="2" t="n"/>
      <c r="F4" s="5" t="inlineStr">
        <is>
          <t>from</t>
        </is>
      </c>
      <c r="G4" s="6" t="inlineStr">
        <is>
          <t>to</t>
        </is>
      </c>
      <c r="H4" s="99" t="n"/>
    </row>
    <row r="5">
      <c r="A5" s="100" t="n">
        <v>0</v>
      </c>
      <c r="B5" s="8" t="n">
        <v>50</v>
      </c>
      <c r="C5" s="100" t="n">
        <v>0</v>
      </c>
      <c r="D5" s="101" t="n">
        <v>0</v>
      </c>
      <c r="E5" s="102" t="n"/>
      <c r="F5" s="103" t="n">
        <v>0</v>
      </c>
      <c r="G5" s="104" t="n">
        <v>1500</v>
      </c>
      <c r="H5" s="105" t="n">
        <v>150</v>
      </c>
    </row>
    <row r="6">
      <c r="A6" s="106" t="n">
        <v>50</v>
      </c>
      <c r="B6" s="15" t="n">
        <v>150</v>
      </c>
      <c r="C6" s="106">
        <f>2*D6</f>
        <v/>
      </c>
      <c r="D6" s="107" t="n">
        <v>150</v>
      </c>
      <c r="E6" s="102" t="n"/>
      <c r="F6" s="106" t="n">
        <v>1500</v>
      </c>
      <c r="G6" s="108" t="n">
        <v>2500</v>
      </c>
      <c r="H6" s="109">
        <f>H5*2</f>
        <v/>
      </c>
    </row>
    <row r="7">
      <c r="A7" s="106" t="n">
        <v>150</v>
      </c>
      <c r="B7" s="15" t="n">
        <v>200</v>
      </c>
      <c r="C7" s="106">
        <f>2*D7</f>
        <v/>
      </c>
      <c r="D7" s="107" t="n">
        <v>200</v>
      </c>
      <c r="E7" s="102" t="n"/>
      <c r="F7" s="106" t="n">
        <v>2500</v>
      </c>
      <c r="G7" s="108" t="n">
        <v>3500</v>
      </c>
      <c r="H7" s="109">
        <f>H6*2</f>
        <v/>
      </c>
    </row>
    <row r="8">
      <c r="A8" s="110" t="n">
        <v>200</v>
      </c>
      <c r="B8" s="20" t="n"/>
      <c r="C8" s="110">
        <f>2*D8</f>
        <v/>
      </c>
      <c r="D8" s="111" t="n">
        <v>300</v>
      </c>
      <c r="E8" s="102" t="n"/>
      <c r="F8" s="110" t="n">
        <v>3500</v>
      </c>
      <c r="G8" s="22" t="n"/>
      <c r="H8" s="112">
        <f>H7*2</f>
        <v/>
      </c>
    </row>
    <row r="10">
      <c r="A10" s="2" t="inlineStr">
        <is>
          <t>Kilometers per year</t>
        </is>
      </c>
      <c r="B10" s="102" t="n">
        <v>15000</v>
      </c>
      <c r="C10" s="102" t="n"/>
    </row>
    <row r="12">
      <c r="A12" s="2" t="inlineStr">
        <is>
          <t>Car Specifications</t>
        </is>
      </c>
    </row>
    <row r="13" ht="32.4" customHeight="1">
      <c r="A13" s="24" t="n"/>
      <c r="B13" s="25" t="inlineStr">
        <is>
          <t>CO2</t>
        </is>
      </c>
      <c r="C13" s="26" t="inlineStr">
        <is>
          <t>Fuel</t>
        </is>
      </c>
      <c r="D13" s="26" t="inlineStr">
        <is>
          <t>Battery capacity</t>
        </is>
      </c>
      <c r="E13" s="26" t="inlineStr">
        <is>
          <t>Range</t>
        </is>
      </c>
      <c r="F13" s="27" t="inlineStr">
        <is>
          <t>Weight</t>
        </is>
      </c>
      <c r="G13" s="27" t="inlineStr">
        <is>
          <t>Price</t>
        </is>
      </c>
      <c r="H13" s="27" t="inlineStr">
        <is>
          <t>Profit margin</t>
        </is>
      </c>
      <c r="I13" s="28" t="inlineStr">
        <is>
          <t>Annual service cost</t>
        </is>
      </c>
    </row>
    <row r="14" ht="31.2" customHeight="1">
      <c r="A14" s="29" t="n"/>
      <c r="B14" s="30" t="inlineStr">
        <is>
          <t>emitted per km (g)</t>
        </is>
      </c>
      <c r="C14" s="31" t="inlineStr">
        <is>
          <t>Consumption (litres per 100km)</t>
        </is>
      </c>
      <c r="D14" s="31" t="inlineStr">
        <is>
          <t>(kWh)</t>
        </is>
      </c>
      <c r="E14" s="31" t="inlineStr">
        <is>
          <t>* (km)</t>
        </is>
      </c>
      <c r="F14" s="32" t="inlineStr">
        <is>
          <t>(kg)</t>
        </is>
      </c>
      <c r="G14" s="32" t="inlineStr">
        <is>
          <t>($)</t>
        </is>
      </c>
      <c r="H14" s="32" t="n"/>
      <c r="I14" s="33" t="inlineStr">
        <is>
          <t>($)</t>
        </is>
      </c>
    </row>
    <row r="15">
      <c r="A15" s="34" t="inlineStr">
        <is>
          <t>Small Petrol</t>
        </is>
      </c>
      <c r="B15" s="35" t="n">
        <v>125</v>
      </c>
      <c r="C15" s="36" t="n">
        <v>6.4</v>
      </c>
      <c r="D15" s="37" t="n"/>
      <c r="E15" s="37" t="n"/>
      <c r="F15" s="113" t="n">
        <v>1900</v>
      </c>
      <c r="G15" s="113" t="n">
        <v>28450</v>
      </c>
      <c r="H15" s="39" t="n">
        <v>0.05</v>
      </c>
      <c r="I15" s="8" t="n">
        <v>250</v>
      </c>
    </row>
    <row r="16">
      <c r="A16" s="40" t="inlineStr">
        <is>
          <t>Medium Petrol</t>
        </is>
      </c>
      <c r="B16" s="41" t="n">
        <v>186</v>
      </c>
      <c r="C16" s="42" t="n">
        <v>7.7</v>
      </c>
      <c r="D16" s="43" t="n"/>
      <c r="E16" s="43" t="n"/>
      <c r="F16" s="114" t="n">
        <v>2070</v>
      </c>
      <c r="G16" s="114" t="n">
        <v>36866</v>
      </c>
      <c r="H16" s="45" t="n">
        <v>0.07000000000000001</v>
      </c>
      <c r="I16" s="15" t="n">
        <v>300</v>
      </c>
    </row>
    <row r="17">
      <c r="A17" s="40" t="inlineStr">
        <is>
          <t>Large Petrol</t>
        </is>
      </c>
      <c r="B17" s="41" t="n">
        <v>215</v>
      </c>
      <c r="C17" s="42" t="n">
        <v>8.199999999999999</v>
      </c>
      <c r="D17" s="43" t="n"/>
      <c r="E17" s="43" t="n"/>
      <c r="F17" s="114" t="n">
        <v>2850</v>
      </c>
      <c r="G17" s="114" t="n">
        <v>65585</v>
      </c>
      <c r="H17" s="45" t="n">
        <v>0.11</v>
      </c>
      <c r="I17" s="15" t="n">
        <v>350</v>
      </c>
    </row>
    <row r="18">
      <c r="A18" s="40" t="inlineStr">
        <is>
          <t>Small Electric</t>
        </is>
      </c>
      <c r="B18" s="41" t="n">
        <v>0</v>
      </c>
      <c r="C18" s="43" t="n"/>
      <c r="D18" s="42" t="n">
        <v>62</v>
      </c>
      <c r="E18" s="42" t="n">
        <v>264</v>
      </c>
      <c r="F18" s="114" t="n">
        <v>2270</v>
      </c>
      <c r="G18" s="114" t="n">
        <v>39465</v>
      </c>
      <c r="H18" s="45" t="n">
        <v>0.11</v>
      </c>
      <c r="I18" s="15" t="n">
        <v>100</v>
      </c>
    </row>
    <row r="19">
      <c r="A19" s="40" t="inlineStr">
        <is>
          <t>Medium Electric</t>
        </is>
      </c>
      <c r="B19" s="41" t="n">
        <v>0</v>
      </c>
      <c r="C19" s="43" t="n"/>
      <c r="D19" s="42" t="n">
        <v>82</v>
      </c>
      <c r="E19" s="42" t="n">
        <v>315</v>
      </c>
      <c r="F19" s="114" t="n">
        <v>2540</v>
      </c>
      <c r="G19" s="114" t="n">
        <v>47825</v>
      </c>
      <c r="H19" s="45" t="n">
        <v>0.14</v>
      </c>
      <c r="I19" s="15" t="n">
        <v>150</v>
      </c>
    </row>
    <row r="20">
      <c r="A20" s="29" t="inlineStr">
        <is>
          <t>Large Electric</t>
        </is>
      </c>
      <c r="B20" s="46" t="n">
        <v>0</v>
      </c>
      <c r="C20" s="47" t="n"/>
      <c r="D20" s="48" t="n">
        <v>96</v>
      </c>
      <c r="E20" s="48" t="n">
        <v>309</v>
      </c>
      <c r="F20" s="115" t="n">
        <v>3730</v>
      </c>
      <c r="G20" s="115" t="n">
        <v>68834</v>
      </c>
      <c r="H20" s="50" t="n">
        <v>0.18</v>
      </c>
      <c r="I20" s="20" t="n">
        <v>180</v>
      </c>
    </row>
    <row r="21">
      <c r="E21" t="inlineStr">
        <is>
          <t>* Distance travelled on full battery</t>
        </is>
      </c>
    </row>
    <row r="22">
      <c r="B22" t="inlineStr">
        <is>
          <t>Base</t>
        </is>
      </c>
      <c r="C22" t="inlineStr">
        <is>
          <t>Alt</t>
        </is>
      </c>
    </row>
    <row r="23">
      <c r="A23" t="inlineStr">
        <is>
          <t>Electricity cost per kWh ($)</t>
        </is>
      </c>
      <c r="B23" t="n">
        <v>0.28</v>
      </c>
      <c r="C23">
        <f>B23-0.05</f>
        <v/>
      </c>
    </row>
    <row r="24">
      <c r="A24" t="inlineStr">
        <is>
          <t>Fuel cost per litre ($)</t>
        </is>
      </c>
      <c r="B24" t="n">
        <v>1.5</v>
      </c>
    </row>
    <row r="26">
      <c r="A26" t="inlineStr">
        <is>
          <t>Discount rate</t>
        </is>
      </c>
      <c r="B26" s="51" t="n">
        <v>0.04</v>
      </c>
    </row>
    <row r="27">
      <c r="A27" t="inlineStr">
        <is>
          <t>Service cost from year</t>
        </is>
      </c>
      <c r="B27" t="n">
        <v>4</v>
      </c>
    </row>
    <row r="28">
      <c r="C28" s="51" t="n"/>
    </row>
  </sheetData>
  <mergeCells count="5">
    <mergeCell ref="F3:G3"/>
    <mergeCell ref="C3:C4"/>
    <mergeCell ref="H3:H4"/>
    <mergeCell ref="D3:D4"/>
    <mergeCell ref="A3:B3"/>
  </mergeCells>
  <printOptions gridLines="1" gridLinesSet="0"/>
  <pageMargins left="0.7" right="0.7" top="0.75" bottom="0.75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ColWidth="11.19921875" defaultRowHeight="18"/>
  <cols>
    <col width="17.796875" customWidth="1" style="52" min="1" max="1"/>
    <col width="11.19921875" customWidth="1" style="52" min="2" max="16384"/>
  </cols>
  <sheetData>
    <row r="1">
      <c r="A1" s="1" t="inlineStr">
        <is>
          <t>Vehicle Sales for the last year - number of cars sold each month</t>
        </is>
      </c>
    </row>
    <row r="3">
      <c r="A3" s="53" t="inlineStr">
        <is>
          <t>Model</t>
        </is>
      </c>
      <c r="B3" s="116" t="inlineStr">
        <is>
          <t xml:space="preserve">Jan </t>
        </is>
      </c>
      <c r="C3" s="116" t="inlineStr">
        <is>
          <t xml:space="preserve">Feb </t>
        </is>
      </c>
      <c r="D3" s="116" t="inlineStr">
        <is>
          <t xml:space="preserve">Mar </t>
        </is>
      </c>
      <c r="E3" s="116" t="inlineStr">
        <is>
          <t xml:space="preserve">Apr </t>
        </is>
      </c>
      <c r="F3" s="116" t="inlineStr">
        <is>
          <t xml:space="preserve">May </t>
        </is>
      </c>
      <c r="G3" s="116" t="inlineStr">
        <is>
          <t xml:space="preserve">Jun </t>
        </is>
      </c>
      <c r="H3" s="116" t="inlineStr">
        <is>
          <t xml:space="preserve">Jul </t>
        </is>
      </c>
      <c r="I3" s="116" t="inlineStr">
        <is>
          <t xml:space="preserve">Aug </t>
        </is>
      </c>
      <c r="J3" s="116" t="inlineStr">
        <is>
          <t xml:space="preserve">Sep </t>
        </is>
      </c>
      <c r="K3" s="116" t="inlineStr">
        <is>
          <t xml:space="preserve">Oct </t>
        </is>
      </c>
      <c r="L3" s="117" t="inlineStr">
        <is>
          <t xml:space="preserve">Nov </t>
        </is>
      </c>
      <c r="M3" s="116" t="inlineStr">
        <is>
          <t xml:space="preserve">Dec </t>
        </is>
      </c>
      <c r="N3" s="56" t="inlineStr">
        <is>
          <t xml:space="preserve">Total </t>
        </is>
      </c>
    </row>
    <row r="4">
      <c r="A4" s="57" t="inlineStr">
        <is>
          <t>Small Petrol</t>
        </is>
      </c>
      <c r="B4" s="58" t="n">
        <v>1296</v>
      </c>
      <c r="C4" s="59" t="n">
        <v>1111</v>
      </c>
      <c r="D4" s="59" t="n">
        <v>3190</v>
      </c>
      <c r="E4" s="59" t="n">
        <v>2198</v>
      </c>
      <c r="F4" s="59" t="n">
        <v>2335</v>
      </c>
      <c r="G4" s="59" t="n">
        <v>2804</v>
      </c>
      <c r="H4" s="59" t="n">
        <v>2076</v>
      </c>
      <c r="I4" s="59" t="n">
        <v>1947</v>
      </c>
      <c r="J4" s="59" t="n">
        <v>2423</v>
      </c>
      <c r="K4" s="59" t="n">
        <v>2228</v>
      </c>
      <c r="L4" s="58" t="n">
        <v>2380</v>
      </c>
      <c r="M4" s="59" t="n">
        <v>1579</v>
      </c>
      <c r="N4" s="59">
        <f>SUM(B4:M4)</f>
        <v/>
      </c>
    </row>
    <row r="5">
      <c r="A5" s="57" t="inlineStr">
        <is>
          <t>Medium Petrol</t>
        </is>
      </c>
      <c r="B5" s="58" t="n">
        <v>154</v>
      </c>
      <c r="C5" s="59" t="n">
        <v>63</v>
      </c>
      <c r="D5" s="59" t="n">
        <v>333</v>
      </c>
      <c r="E5" s="59" t="n">
        <v>163</v>
      </c>
      <c r="F5" s="59" t="n">
        <v>122</v>
      </c>
      <c r="G5" s="59" t="n">
        <v>204</v>
      </c>
      <c r="H5" s="59" t="n">
        <v>156</v>
      </c>
      <c r="I5" s="59" t="n">
        <v>46</v>
      </c>
      <c r="J5" s="59" t="n">
        <v>197</v>
      </c>
      <c r="K5" s="59" t="n">
        <v>102</v>
      </c>
      <c r="L5" s="58" t="n">
        <v>217</v>
      </c>
      <c r="M5" s="59" t="n">
        <v>136</v>
      </c>
      <c r="N5" s="59">
        <f>SUM(B5:M5)</f>
        <v/>
      </c>
    </row>
    <row r="6">
      <c r="A6" s="57" t="inlineStr">
        <is>
          <t>Large Petrol</t>
        </is>
      </c>
      <c r="B6" s="58" t="n">
        <v>163</v>
      </c>
      <c r="C6" s="59" t="n">
        <v>145</v>
      </c>
      <c r="D6" s="59" t="n">
        <v>621</v>
      </c>
      <c r="E6" s="59" t="n">
        <v>225</v>
      </c>
      <c r="F6" s="59" t="n">
        <v>177</v>
      </c>
      <c r="G6" s="59" t="n">
        <v>72</v>
      </c>
      <c r="H6" s="59" t="n">
        <v>53</v>
      </c>
      <c r="I6" s="59" t="n">
        <v>68</v>
      </c>
      <c r="J6" s="59" t="n">
        <v>162</v>
      </c>
      <c r="K6" s="59" t="n">
        <v>47</v>
      </c>
      <c r="L6" s="58" t="n">
        <v>31</v>
      </c>
      <c r="M6" s="59" t="n">
        <v>72</v>
      </c>
      <c r="N6" s="59">
        <f>SUM(B6:M6)</f>
        <v/>
      </c>
    </row>
    <row r="7">
      <c r="A7" s="57" t="inlineStr">
        <is>
          <t>Small Electric</t>
        </is>
      </c>
      <c r="B7" s="59" t="n">
        <v>719</v>
      </c>
      <c r="C7" s="59" t="n">
        <v>632</v>
      </c>
      <c r="D7" s="59" t="n">
        <v>1234</v>
      </c>
      <c r="E7" s="59" t="n">
        <v>890</v>
      </c>
      <c r="F7" s="59" t="n">
        <v>791</v>
      </c>
      <c r="G7" s="59" t="n">
        <v>733</v>
      </c>
      <c r="H7" s="59" t="n">
        <v>752</v>
      </c>
      <c r="I7" s="59" t="n">
        <v>636</v>
      </c>
      <c r="J7" s="59" t="n">
        <v>880</v>
      </c>
      <c r="K7" s="59" t="n">
        <v>1109</v>
      </c>
      <c r="L7" s="59" t="n">
        <v>1338</v>
      </c>
      <c r="M7" s="59" t="n">
        <v>1432</v>
      </c>
      <c r="N7" s="59">
        <f>SUM(B7:M7)</f>
        <v/>
      </c>
    </row>
    <row r="8">
      <c r="A8" s="57" t="inlineStr">
        <is>
          <t>Medium Electric</t>
        </is>
      </c>
      <c r="B8" s="58" t="n">
        <v>379</v>
      </c>
      <c r="C8" s="59" t="n">
        <v>252</v>
      </c>
      <c r="D8" s="59" t="n">
        <v>706</v>
      </c>
      <c r="E8" s="59" t="n">
        <v>618</v>
      </c>
      <c r="F8" s="59" t="n">
        <v>821</v>
      </c>
      <c r="G8" s="59" t="n">
        <v>261</v>
      </c>
      <c r="H8" s="59" t="n">
        <v>205</v>
      </c>
      <c r="I8" s="59" t="n">
        <v>254</v>
      </c>
      <c r="J8" s="59" t="n">
        <v>637</v>
      </c>
      <c r="K8" s="59" t="n">
        <v>749</v>
      </c>
      <c r="L8" s="58" t="n">
        <v>622</v>
      </c>
      <c r="M8" s="59" t="n">
        <v>787</v>
      </c>
      <c r="N8" s="59">
        <f>SUM(B8:M8)</f>
        <v/>
      </c>
    </row>
    <row r="9">
      <c r="A9" s="57" t="inlineStr">
        <is>
          <t>Large Electric</t>
        </is>
      </c>
      <c r="B9" s="58" t="n">
        <v>215</v>
      </c>
      <c r="C9" s="59" t="n">
        <v>82</v>
      </c>
      <c r="D9" s="59" t="n">
        <v>355</v>
      </c>
      <c r="E9" s="59" t="n">
        <v>178</v>
      </c>
      <c r="F9" s="59" t="n">
        <v>203</v>
      </c>
      <c r="G9" s="59" t="n">
        <v>149</v>
      </c>
      <c r="H9" s="59" t="n">
        <v>74</v>
      </c>
      <c r="I9" s="59" t="n">
        <v>139</v>
      </c>
      <c r="J9" s="59" t="n">
        <v>479</v>
      </c>
      <c r="K9" s="59" t="n">
        <v>510</v>
      </c>
      <c r="L9" s="58" t="n">
        <v>355</v>
      </c>
      <c r="M9" s="59" t="n">
        <v>1109</v>
      </c>
      <c r="N9" s="59">
        <f>SUM(B9:M9)</f>
        <v/>
      </c>
    </row>
    <row r="10">
      <c r="A10" s="53" t="inlineStr">
        <is>
          <t>Total</t>
        </is>
      </c>
      <c r="B10" s="60">
        <f>SUM(B4:B9)</f>
        <v/>
      </c>
      <c r="C10" s="60">
        <f>SUM(C4:C9)</f>
        <v/>
      </c>
      <c r="D10" s="60">
        <f>SUM(D4:D9)</f>
        <v/>
      </c>
      <c r="E10" s="60">
        <f>SUM(E4:E9)</f>
        <v/>
      </c>
      <c r="F10" s="60">
        <f>SUM(F4:F9)</f>
        <v/>
      </c>
      <c r="G10" s="60">
        <f>SUM(G4:G9)</f>
        <v/>
      </c>
      <c r="H10" s="60">
        <f>SUM(H4:H9)</f>
        <v/>
      </c>
      <c r="I10" s="60">
        <f>SUM(I4:I9)</f>
        <v/>
      </c>
      <c r="J10" s="60">
        <f>SUM(J4:J9)</f>
        <v/>
      </c>
      <c r="K10" s="60">
        <f>SUM(K4:K9)</f>
        <v/>
      </c>
      <c r="L10" s="60">
        <f>SUM(L4:L9)</f>
        <v/>
      </c>
      <c r="M10" s="60">
        <f>SUM(M4:M9)</f>
        <v/>
      </c>
      <c r="N10" s="60">
        <f>SUM(N4:N9)</f>
        <v/>
      </c>
    </row>
  </sheetData>
  <printOptions gridLines="1" gridLinesSet="0"/>
  <pageMargins left="0.7" right="0.7" top="0.75" bottom="0.75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ColWidth="11.19921875" defaultRowHeight="15.6"/>
  <cols>
    <col width="15.69921875" customWidth="1" min="1" max="1"/>
    <col width="11.296875" customWidth="1" min="6" max="6"/>
  </cols>
  <sheetData>
    <row r="1" ht="21" customHeight="1">
      <c r="A1" s="61" t="inlineStr">
        <is>
          <t>Base Scenario</t>
        </is>
      </c>
    </row>
    <row r="2">
      <c r="A2" t="inlineStr">
        <is>
          <t>Calculates the total cost of ownership for all cars in the current range under the old tax regime.</t>
        </is>
      </c>
    </row>
    <row r="5" ht="18" customHeight="1">
      <c r="B5" s="62" t="inlineStr">
        <is>
          <t>Small Petrol</t>
        </is>
      </c>
      <c r="C5" s="63" t="n"/>
      <c r="D5" s="63" t="n"/>
      <c r="E5" s="63" t="n"/>
      <c r="F5" s="63" t="n"/>
      <c r="G5" s="41" t="n"/>
      <c r="H5" s="62" t="inlineStr">
        <is>
          <t>Medium Petrol</t>
        </is>
      </c>
      <c r="I5" s="64" t="n"/>
      <c r="J5" s="64" t="n"/>
      <c r="K5" s="64" t="n"/>
      <c r="L5" s="64" t="n"/>
      <c r="M5" s="65" t="n"/>
      <c r="N5" s="62" t="inlineStr">
        <is>
          <t>Large Petrol</t>
        </is>
      </c>
      <c r="O5" s="63" t="n"/>
      <c r="P5" s="63" t="n"/>
      <c r="Q5" s="63" t="n"/>
      <c r="R5" s="63" t="n"/>
      <c r="S5" s="41" t="n"/>
    </row>
    <row r="6" ht="31.2" customHeight="1">
      <c r="A6" s="66" t="inlineStr">
        <is>
          <t>Year</t>
        </is>
      </c>
      <c r="B6" s="66" t="inlineStr">
        <is>
          <t>Price</t>
        </is>
      </c>
      <c r="C6" s="66" t="inlineStr">
        <is>
          <t>Tax</t>
        </is>
      </c>
      <c r="D6" s="67" t="inlineStr">
        <is>
          <t>Annual service cost</t>
        </is>
      </c>
      <c r="E6" s="66" t="inlineStr">
        <is>
          <t>Fuel</t>
        </is>
      </c>
      <c r="F6" s="66" t="inlineStr">
        <is>
          <t>PV start</t>
        </is>
      </c>
      <c r="G6" s="66" t="inlineStr">
        <is>
          <t>PV mid</t>
        </is>
      </c>
      <c r="H6" s="66" t="inlineStr">
        <is>
          <t>Price</t>
        </is>
      </c>
      <c r="I6" s="66" t="inlineStr">
        <is>
          <t>Tax</t>
        </is>
      </c>
      <c r="J6" s="67" t="inlineStr">
        <is>
          <t>Annual service cost</t>
        </is>
      </c>
      <c r="K6" s="66" t="inlineStr">
        <is>
          <t>Fuel</t>
        </is>
      </c>
      <c r="L6" s="66" t="inlineStr">
        <is>
          <t>PV start</t>
        </is>
      </c>
      <c r="M6" s="66" t="inlineStr">
        <is>
          <t>PV mid</t>
        </is>
      </c>
      <c r="N6" s="66" t="inlineStr">
        <is>
          <t>Price</t>
        </is>
      </c>
      <c r="O6" s="66" t="inlineStr">
        <is>
          <t>Tax</t>
        </is>
      </c>
      <c r="P6" s="67" t="inlineStr">
        <is>
          <t>Annual service cost</t>
        </is>
      </c>
      <c r="Q6" s="66" t="inlineStr">
        <is>
          <t>Fuel</t>
        </is>
      </c>
      <c r="R6" s="66" t="inlineStr">
        <is>
          <t>PV start</t>
        </is>
      </c>
      <c r="S6" s="66" t="inlineStr">
        <is>
          <t>PV mid</t>
        </is>
      </c>
    </row>
    <row r="7">
      <c r="A7" s="42" t="n">
        <v>1</v>
      </c>
      <c r="B7" s="118">
        <f>INDEX(CarData,MATCH($B$5,HeaderCol,0),MATCH(B$6,Header,0))</f>
        <v/>
      </c>
      <c r="C7" s="114">
        <f>VLOOKUP(INDEX(CarData,MATCH($B$5,HeaderCol,0),MATCH("CO2",Header,0)),TaxCO2,MIN($A7,2)+2,TRUE)</f>
        <v/>
      </c>
      <c r="D7" s="114">
        <f>IF($A7&gt;=Parameters!$B$27,INDEX(CarData,MATCH($B$5,HeaderCol,0),MATCH(D$6,Header,0)),0)</f>
        <v/>
      </c>
      <c r="E7" s="114">
        <f>Parameters!$B$10*INDEX(CarData,MATCH($B$5,HeaderCol,0),MATCH("Fuel",Header,0))/100*Parameters!$B$24</f>
        <v/>
      </c>
      <c r="F7" s="114">
        <f>(B7+C7)*(1+Parameters!$B$26)^-($A7-1)</f>
        <v/>
      </c>
      <c r="G7" s="114">
        <f>(D7+E7)*(1+Parameters!$B$26)^-($A7-0.5)</f>
        <v/>
      </c>
      <c r="H7" s="118">
        <f>INDEX(CarData,MATCH($H$5,HeaderCol,0),MATCH(H$6,Header,0))</f>
        <v/>
      </c>
      <c r="I7" s="114">
        <f>VLOOKUP(INDEX(CarData,MATCH($H$5,HeaderCol,0),MATCH("CO2",Header,0)),TaxCO2,MIN($A7,2)+2,TRUE)</f>
        <v/>
      </c>
      <c r="J7" s="114">
        <f>IF($A7&gt;=Parameters!$B$27,INDEX(CarData,MATCH($H$5,HeaderCol,0),MATCH(J$6,Header,0)),0)</f>
        <v/>
      </c>
      <c r="K7" s="114">
        <f>Parameters!$B$10*INDEX(CarData,MATCH($H$5,HeaderCol,0),MATCH("Fuel",Header,0))/100*Parameters!$B$24</f>
        <v/>
      </c>
      <c r="L7" s="114">
        <f>(H7+I7)*(1+Parameters!$B$26)^-($A7-1)</f>
        <v/>
      </c>
      <c r="M7" s="114">
        <f>(J7+K7)*(1+Parameters!$B$26)^-($A7-0.5)</f>
        <v/>
      </c>
      <c r="N7" s="118">
        <f>INDEX(CarData,MATCH($N$5,HeaderCol,0),MATCH(N$6,Header,0))</f>
        <v/>
      </c>
      <c r="O7" s="114">
        <f>VLOOKUP(INDEX(CarData,MATCH($N$5,HeaderCol,0),MATCH("CO2",Header,0)),TaxCO2,MIN($A7,2)+2,TRUE)</f>
        <v/>
      </c>
      <c r="P7" s="114">
        <f>IF($A7&gt;=Parameters!$B$27,INDEX(CarData,MATCH($N$5,HeaderCol,0),MATCH(P$6,Header,0)),0)</f>
        <v/>
      </c>
      <c r="Q7" s="114">
        <f>Parameters!$B$10*INDEX(CarData,MATCH($N$5,HeaderCol,0),MATCH("Fuel",Header,0))/100*Parameters!$B$24</f>
        <v/>
      </c>
      <c r="R7" s="114">
        <f>(N7+O7)*(1+Parameters!$B$26)^-($A7-1)</f>
        <v/>
      </c>
      <c r="S7" s="114">
        <f>(P7+Q7)*(1+Parameters!$B$26)^-($A7-0.5)</f>
        <v/>
      </c>
    </row>
    <row r="8">
      <c r="A8" s="42" t="n">
        <v>2</v>
      </c>
      <c r="B8" s="114" t="n"/>
      <c r="C8" s="114">
        <f>VLOOKUP(INDEX(CarData,MATCH($B$5,HeaderCol,0),MATCH("CO2",Header,0)),TaxCO2,MIN($A8,2)+2,TRUE)</f>
        <v/>
      </c>
      <c r="D8" s="114">
        <f>IF($A8&gt;=Parameters!$B$27,INDEX(CarData,MATCH($B$5,HeaderCol,0),MATCH(D$6,Header,0)),0)</f>
        <v/>
      </c>
      <c r="E8" s="114">
        <f>Parameters!$B$10*INDEX(CarData,MATCH($B$5,HeaderCol,0),MATCH("Fuel",Header,0))/100*Parameters!$B$24</f>
        <v/>
      </c>
      <c r="F8" s="114">
        <f>(B8+C8)*(1+Parameters!$B$26)^-($A8-1)</f>
        <v/>
      </c>
      <c r="G8" s="114">
        <f>(D8+E8)*(1+Parameters!$B$26)^-($A8-0.5)</f>
        <v/>
      </c>
      <c r="H8" s="114" t="n"/>
      <c r="I8" s="114">
        <f>VLOOKUP(INDEX(CarData,MATCH($H$5,HeaderCol,0),MATCH("CO2",Header,0)),TaxCO2,MIN($A8,2)+2,TRUE)</f>
        <v/>
      </c>
      <c r="J8" s="114">
        <f>IF($A8&gt;=Parameters!$B$27,INDEX(CarData,MATCH($H$5,HeaderCol,0),MATCH(J$6,Header,0)),0)</f>
        <v/>
      </c>
      <c r="K8" s="114">
        <f>Parameters!$B$10*INDEX(CarData,MATCH($H$5,HeaderCol,0),MATCH("Fuel",Header,0))/100*Parameters!$B$24</f>
        <v/>
      </c>
      <c r="L8" s="114">
        <f>(H8+I8)*(1+Parameters!$B$26)^-($A8-1)</f>
        <v/>
      </c>
      <c r="M8" s="114">
        <f>(J8+K8)*(1+Parameters!$B$26)^-($A8-0.5)</f>
        <v/>
      </c>
      <c r="N8" s="114" t="n"/>
      <c r="O8" s="114">
        <f>VLOOKUP(INDEX(CarData,MATCH($N$5,HeaderCol,0),MATCH("CO2",Header,0)),TaxCO2,MIN($A8,2)+2,TRUE)</f>
        <v/>
      </c>
      <c r="P8" s="114">
        <f>IF($A8&gt;=Parameters!$B$27,INDEX(CarData,MATCH($N$5,HeaderCol,0),MATCH(P$6,Header,0)),0)</f>
        <v/>
      </c>
      <c r="Q8" s="114">
        <f>Parameters!$B$10*INDEX(CarData,MATCH($N$5,HeaderCol,0),MATCH("Fuel",Header,0))/100*Parameters!$B$24</f>
        <v/>
      </c>
      <c r="R8" s="114">
        <f>(N8+O8)*(1+Parameters!$B$26)^-($A8-1)</f>
        <v/>
      </c>
      <c r="S8" s="114">
        <f>(P8+Q8)*(1+Parameters!$B$26)^-($A8-0.5)</f>
        <v/>
      </c>
    </row>
    <row r="9">
      <c r="A9" s="42" t="n">
        <v>3</v>
      </c>
      <c r="B9" s="114" t="n"/>
      <c r="C9" s="114">
        <f>VLOOKUP(INDEX(CarData,MATCH($B$5,HeaderCol,0),MATCH("CO2",Header,0)),TaxCO2,MIN($A9,2)+2,TRUE)</f>
        <v/>
      </c>
      <c r="D9" s="114">
        <f>IF($A9&gt;=Parameters!$B$27,INDEX(CarData,MATCH($B$5,HeaderCol,0),MATCH(D$6,Header,0)),0)</f>
        <v/>
      </c>
      <c r="E9" s="114">
        <f>Parameters!$B$10*INDEX(CarData,MATCH($B$5,HeaderCol,0),MATCH("Fuel",Header,0))/100*Parameters!$B$24</f>
        <v/>
      </c>
      <c r="F9" s="114">
        <f>(B9+C9)*(1+Parameters!$B$26)^-($A9-1)</f>
        <v/>
      </c>
      <c r="G9" s="114">
        <f>(D9+E9)*(1+Parameters!$B$26)^-($A9-0.5)</f>
        <v/>
      </c>
      <c r="H9" s="114" t="n"/>
      <c r="I9" s="114">
        <f>VLOOKUP(INDEX(CarData,MATCH($H$5,HeaderCol,0),MATCH("CO2",Header,0)),TaxCO2,MIN($A9,2)+2,TRUE)</f>
        <v/>
      </c>
      <c r="J9" s="114">
        <f>IF($A9&gt;=Parameters!$B$27,INDEX(CarData,MATCH($H$5,HeaderCol,0),MATCH(J$6,Header,0)),0)</f>
        <v/>
      </c>
      <c r="K9" s="114">
        <f>Parameters!$B$10*INDEX(CarData,MATCH($H$5,HeaderCol,0),MATCH("Fuel",Header,0))/100*Parameters!$B$24</f>
        <v/>
      </c>
      <c r="L9" s="114">
        <f>(H9+I9)*(1+Parameters!$B$26)^-($A9-1)</f>
        <v/>
      </c>
      <c r="M9" s="114">
        <f>(J9+K9)*(1+Parameters!$B$26)^-($A9-0.5)</f>
        <v/>
      </c>
      <c r="N9" s="114" t="n"/>
      <c r="O9" s="114">
        <f>VLOOKUP(INDEX(CarData,MATCH($N$5,HeaderCol,0),MATCH("CO2",Header,0)),TaxCO2,MIN($A9,2)+2,TRUE)</f>
        <v/>
      </c>
      <c r="P9" s="114">
        <f>IF($A9&gt;=Parameters!$B$27,INDEX(CarData,MATCH($N$5,HeaderCol,0),MATCH(P$6,Header,0)),0)</f>
        <v/>
      </c>
      <c r="Q9" s="114">
        <f>Parameters!$B$10*INDEX(CarData,MATCH($N$5,HeaderCol,0),MATCH("Fuel",Header,0))/100*Parameters!$B$24</f>
        <v/>
      </c>
      <c r="R9" s="114">
        <f>(N9+O9)*(1+Parameters!$B$26)^-($A9-1)</f>
        <v/>
      </c>
      <c r="S9" s="114">
        <f>(P9+Q9)*(1+Parameters!$B$26)^-($A9-0.5)</f>
        <v/>
      </c>
    </row>
    <row r="10">
      <c r="A10" s="42" t="n">
        <v>4</v>
      </c>
      <c r="B10" s="114" t="n"/>
      <c r="C10" s="114">
        <f>VLOOKUP(INDEX(CarData,MATCH($B$5,HeaderCol,0),MATCH("CO2",Header,0)),TaxCO2,MIN($A10,2)+2,TRUE)</f>
        <v/>
      </c>
      <c r="D10" s="114">
        <f>IF($A10&gt;=Parameters!$B$27,INDEX(CarData,MATCH($B$5,HeaderCol,0),MATCH(D$6,Header,0)),0)</f>
        <v/>
      </c>
      <c r="E10" s="114">
        <f>Parameters!$B$10*INDEX(CarData,MATCH($B$5,HeaderCol,0),MATCH("Fuel",Header,0))/100*Parameters!$B$24</f>
        <v/>
      </c>
      <c r="F10" s="114">
        <f>(B10+C10)*(1+Parameters!$B$26)^-($A10-1)</f>
        <v/>
      </c>
      <c r="G10" s="114">
        <f>(D10+E10)*(1+Parameters!$B$26)^-($A10-0.5)</f>
        <v/>
      </c>
      <c r="H10" s="114" t="n"/>
      <c r="I10" s="114">
        <f>VLOOKUP(INDEX(CarData,MATCH($H$5,HeaderCol,0),MATCH("CO2",Header,0)),TaxCO2,MIN($A10,2)+2,TRUE)</f>
        <v/>
      </c>
      <c r="J10" s="114">
        <f>IF($A10&gt;=Parameters!$B$27,INDEX(CarData,MATCH($H$5,HeaderCol,0),MATCH(J$6,Header,0)),0)</f>
        <v/>
      </c>
      <c r="K10" s="114">
        <f>Parameters!$B$10*INDEX(CarData,MATCH($H$5,HeaderCol,0),MATCH("Fuel",Header,0))/100*Parameters!$B$24</f>
        <v/>
      </c>
      <c r="L10" s="114">
        <f>(H10+I10)*(1+Parameters!$B$26)^-($A10-1)</f>
        <v/>
      </c>
      <c r="M10" s="114">
        <f>(J10+K10)*(1+Parameters!$B$26)^-($A10-0.5)</f>
        <v/>
      </c>
      <c r="N10" s="114" t="n"/>
      <c r="O10" s="114">
        <f>VLOOKUP(INDEX(CarData,MATCH($N$5,HeaderCol,0),MATCH("CO2",Header,0)),TaxCO2,MIN($A10,2)+2,TRUE)</f>
        <v/>
      </c>
      <c r="P10" s="114">
        <f>IF($A10&gt;=Parameters!$B$27,INDEX(CarData,MATCH($N$5,HeaderCol,0),MATCH(P$6,Header,0)),0)</f>
        <v/>
      </c>
      <c r="Q10" s="114">
        <f>Parameters!$B$10*INDEX(CarData,MATCH($N$5,HeaderCol,0),MATCH("Fuel",Header,0))/100*Parameters!$B$24</f>
        <v/>
      </c>
      <c r="R10" s="114">
        <f>(N10+O10)*(1+Parameters!$B$26)^-($A10-1)</f>
        <v/>
      </c>
      <c r="S10" s="114">
        <f>(P10+Q10)*(1+Parameters!$B$26)^-($A10-0.5)</f>
        <v/>
      </c>
    </row>
    <row r="11">
      <c r="A11" s="42" t="n">
        <v>5</v>
      </c>
      <c r="B11" s="114" t="n"/>
      <c r="C11" s="114">
        <f>VLOOKUP(INDEX(CarData,MATCH($B$5,HeaderCol,0),MATCH("CO2",Header,0)),TaxCO2,MIN($A11,2)+2,TRUE)</f>
        <v/>
      </c>
      <c r="D11" s="114">
        <f>IF($A11&gt;=Parameters!$B$27,INDEX(CarData,MATCH($B$5,HeaderCol,0),MATCH(D$6,Header,0)),0)</f>
        <v/>
      </c>
      <c r="E11" s="114">
        <f>Parameters!$B$10*INDEX(CarData,MATCH($B$5,HeaderCol,0),MATCH("Fuel",Header,0))/100*Parameters!$B$24</f>
        <v/>
      </c>
      <c r="F11" s="114">
        <f>(B11+C11)*(1+Parameters!$B$26)^-($A11-1)</f>
        <v/>
      </c>
      <c r="G11" s="114">
        <f>(D11+E11)*(1+Parameters!$B$26)^-($A11-0.5)</f>
        <v/>
      </c>
      <c r="H11" s="114" t="n"/>
      <c r="I11" s="114">
        <f>VLOOKUP(INDEX(CarData,MATCH($H$5,HeaderCol,0),MATCH("CO2",Header,0)),TaxCO2,MIN($A11,2)+2,TRUE)</f>
        <v/>
      </c>
      <c r="J11" s="114">
        <f>IF($A11&gt;=Parameters!$B$27,INDEX(CarData,MATCH($H$5,HeaderCol,0),MATCH(J$6,Header,0)),0)</f>
        <v/>
      </c>
      <c r="K11" s="114">
        <f>Parameters!$B$10*INDEX(CarData,MATCH($H$5,HeaderCol,0),MATCH("Fuel",Header,0))/100*Parameters!$B$24</f>
        <v/>
      </c>
      <c r="L11" s="114">
        <f>(H11+I11)*(1+Parameters!$B$26)^-($A11-1)</f>
        <v/>
      </c>
      <c r="M11" s="114">
        <f>(J11+K11)*(1+Parameters!$B$26)^-($A11-0.5)</f>
        <v/>
      </c>
      <c r="N11" s="114" t="n"/>
      <c r="O11" s="114">
        <f>VLOOKUP(INDEX(CarData,MATCH($N$5,HeaderCol,0),MATCH("CO2",Header,0)),TaxCO2,MIN($A11,2)+2,TRUE)</f>
        <v/>
      </c>
      <c r="P11" s="114">
        <f>IF($A11&gt;=Parameters!$B$27,INDEX(CarData,MATCH($N$5,HeaderCol,0),MATCH(P$6,Header,0)),0)</f>
        <v/>
      </c>
      <c r="Q11" s="114">
        <f>Parameters!$B$10*INDEX(CarData,MATCH($N$5,HeaderCol,0),MATCH("Fuel",Header,0))/100*Parameters!$B$24</f>
        <v/>
      </c>
      <c r="R11" s="114">
        <f>(N11+O11)*(1+Parameters!$B$26)^-($A11-1)</f>
        <v/>
      </c>
      <c r="S11" s="114">
        <f>(P11+Q11)*(1+Parameters!$B$26)^-($A11-0.5)</f>
        <v/>
      </c>
    </row>
    <row r="12">
      <c r="A12" s="69" t="n"/>
      <c r="B12" s="70" t="n"/>
      <c r="C12" s="71" t="n"/>
      <c r="D12" s="71" t="n"/>
      <c r="E12" s="71" t="n"/>
      <c r="F12" s="71" t="n"/>
      <c r="G12" s="72" t="n"/>
      <c r="H12" s="70" t="n"/>
      <c r="I12" s="71" t="n"/>
      <c r="J12" s="71" t="n"/>
      <c r="K12" s="71" t="n"/>
      <c r="L12" s="71" t="n"/>
      <c r="M12" s="72" t="n"/>
      <c r="N12" s="70" t="n"/>
      <c r="O12" s="71" t="n"/>
      <c r="P12" s="71" t="n"/>
      <c r="Q12" s="71" t="n"/>
      <c r="R12" s="71" t="n"/>
      <c r="S12" s="72" t="n"/>
    </row>
    <row r="13">
      <c r="A13" s="73" t="inlineStr">
        <is>
          <t>Price of Car</t>
        </is>
      </c>
      <c r="B13" s="74" t="n"/>
      <c r="G13" s="119">
        <f>B7</f>
        <v/>
      </c>
      <c r="H13" s="74" t="n"/>
      <c r="M13" s="119">
        <f>H7</f>
        <v/>
      </c>
      <c r="N13" s="74" t="n"/>
      <c r="S13" s="119">
        <f>N7</f>
        <v/>
      </c>
    </row>
    <row r="14" ht="30" customHeight="1">
      <c r="A14" s="76" t="inlineStr">
        <is>
          <t>PV Total cost of ownership</t>
        </is>
      </c>
      <c r="B14" s="74" t="n"/>
      <c r="G14" s="120">
        <f>SUM(F7:G11)</f>
        <v/>
      </c>
      <c r="H14" s="74" t="n"/>
      <c r="M14" s="120">
        <f>SUM(L7:M11)</f>
        <v/>
      </c>
      <c r="N14" s="74" t="n"/>
      <c r="S14" s="120">
        <f>SUM(R7:S11)</f>
        <v/>
      </c>
    </row>
    <row r="15" ht="27" customHeight="1">
      <c r="A15" s="76" t="inlineStr">
        <is>
          <t>Profit</t>
        </is>
      </c>
      <c r="B15" s="74" t="n"/>
      <c r="G15" s="120">
        <f>INDEX(CarData,MATCH($B$5,HeaderCol,0),MATCH("Profit Margin",Header,0))*G13</f>
        <v/>
      </c>
      <c r="H15" s="74" t="n"/>
      <c r="M15" s="120">
        <f>INDEX(CarData,MATCH($H$5,HeaderCol,0),MATCH("Profit Margin",Header,0))*M13</f>
        <v/>
      </c>
      <c r="N15" s="74" t="n"/>
      <c r="S15" s="120">
        <f>INDEX(CarData,MATCH($N$5,HeaderCol,0),MATCH("Profit Margin",Header,0))*S13</f>
        <v/>
      </c>
    </row>
    <row r="16" ht="31.2" customHeight="1">
      <c r="A16" s="83" t="inlineStr">
        <is>
          <t>Manufacturing costs</t>
        </is>
      </c>
      <c r="B16" s="78" t="n"/>
      <c r="C16" s="79" t="n"/>
      <c r="D16" s="79" t="n"/>
      <c r="E16" s="79" t="n"/>
      <c r="F16" s="79" t="n"/>
      <c r="G16" s="121">
        <f>G13-G15</f>
        <v/>
      </c>
      <c r="H16" s="78" t="n"/>
      <c r="I16" s="79" t="n"/>
      <c r="J16" s="79" t="n"/>
      <c r="K16" s="79" t="n"/>
      <c r="L16" s="79" t="n"/>
      <c r="M16" s="121">
        <f>M13-M15</f>
        <v/>
      </c>
      <c r="N16" s="78" t="n"/>
      <c r="O16" s="79" t="n"/>
      <c r="P16" s="79" t="n"/>
      <c r="Q16" s="79" t="n"/>
      <c r="R16" s="79" t="n"/>
      <c r="S16" s="121">
        <f>S13-S15</f>
        <v/>
      </c>
    </row>
    <row r="19" ht="18" customHeight="1">
      <c r="B19" s="62" t="inlineStr">
        <is>
          <t>Small Electric</t>
        </is>
      </c>
      <c r="C19" s="63" t="n"/>
      <c r="D19" s="63" t="n"/>
      <c r="E19" s="63" t="n"/>
      <c r="F19" s="63" t="n"/>
      <c r="G19" s="41" t="n"/>
      <c r="H19" s="62" t="inlineStr">
        <is>
          <t>Medium Electric</t>
        </is>
      </c>
      <c r="I19" s="64" t="n"/>
      <c r="J19" s="64" t="n"/>
      <c r="K19" s="64" t="n"/>
      <c r="L19" s="64" t="n"/>
      <c r="M19" s="65" t="n"/>
      <c r="N19" s="62" t="inlineStr">
        <is>
          <t>Large Electric</t>
        </is>
      </c>
      <c r="O19" s="63" t="n"/>
      <c r="P19" s="63" t="n"/>
      <c r="Q19" s="63" t="n"/>
      <c r="R19" s="63" t="n"/>
      <c r="S19" s="41" t="n"/>
    </row>
    <row r="20" ht="31.2" customHeight="1">
      <c r="A20" s="66" t="inlineStr">
        <is>
          <t>Year</t>
        </is>
      </c>
      <c r="B20" s="66" t="inlineStr">
        <is>
          <t>Price</t>
        </is>
      </c>
      <c r="C20" s="66" t="inlineStr">
        <is>
          <t>Tax</t>
        </is>
      </c>
      <c r="D20" s="67" t="inlineStr">
        <is>
          <t>Annual service cost</t>
        </is>
      </c>
      <c r="E20" s="66" t="inlineStr">
        <is>
          <t>Electricity</t>
        </is>
      </c>
      <c r="F20" s="66" t="inlineStr">
        <is>
          <t>PV start</t>
        </is>
      </c>
      <c r="G20" s="66" t="inlineStr">
        <is>
          <t>PV mid</t>
        </is>
      </c>
      <c r="H20" s="66" t="inlineStr">
        <is>
          <t>Price</t>
        </is>
      </c>
      <c r="I20" s="66" t="inlineStr">
        <is>
          <t>Tax</t>
        </is>
      </c>
      <c r="J20" s="67" t="inlineStr">
        <is>
          <t>Annual service cost</t>
        </is>
      </c>
      <c r="K20" s="66" t="inlineStr">
        <is>
          <t>Electricity</t>
        </is>
      </c>
      <c r="L20" s="66" t="inlineStr">
        <is>
          <t>PV start</t>
        </is>
      </c>
      <c r="M20" s="66" t="inlineStr">
        <is>
          <t>PV mid</t>
        </is>
      </c>
      <c r="N20" s="66" t="inlineStr">
        <is>
          <t>Price</t>
        </is>
      </c>
      <c r="O20" s="66" t="inlineStr">
        <is>
          <t>Tax</t>
        </is>
      </c>
      <c r="P20" s="67" t="inlineStr">
        <is>
          <t>Annual service cost</t>
        </is>
      </c>
      <c r="Q20" s="66" t="inlineStr">
        <is>
          <t>Electricity</t>
        </is>
      </c>
      <c r="R20" s="66" t="inlineStr">
        <is>
          <t>PV start</t>
        </is>
      </c>
      <c r="S20" s="66" t="inlineStr">
        <is>
          <t>PV mid</t>
        </is>
      </c>
    </row>
    <row r="21">
      <c r="A21" s="42" t="n">
        <v>1</v>
      </c>
      <c r="B21" s="118">
        <f>INDEX(CarData,MATCH($B$19,HeaderCol,0),MATCH(B$20,Header,0))</f>
        <v/>
      </c>
      <c r="C21" s="114">
        <f>VLOOKUP(INDEX(CarData,MATCH($B$19,HeaderCol,0),MATCH("CO2",Header,0)),TaxCO2,MIN($A21,2)+2,TRUE)</f>
        <v/>
      </c>
      <c r="D21" s="114">
        <f>IF($A21&gt;=Parameters!$B$27,INDEX(CarData,MATCH($B$19,HeaderCol,0),MATCH(D$6,Header,0)),0)</f>
        <v/>
      </c>
      <c r="E21" s="114">
        <f>Parameters!$B$10/INDEX(CarData,MATCH($B$19,HeaderCol,0),MATCH("Range",Header,0))*INDEX(CarData,MATCH($B$19,HeaderCol,0),MATCH("Battery capacity",Header,0))*Parameters!$B$23</f>
        <v/>
      </c>
      <c r="F21" s="114">
        <f>(B21+C21)*(1+Parameters!$B$26)^-($A21-1)</f>
        <v/>
      </c>
      <c r="G21" s="114">
        <f>(D21+E21)*(1+Parameters!$B$26)^-($A21-0.5)</f>
        <v/>
      </c>
      <c r="H21" s="118">
        <f>INDEX(CarData,MATCH($H$19,HeaderCol,0),MATCH(H$6,Header,0))</f>
        <v/>
      </c>
      <c r="I21" s="114">
        <f>VLOOKUP(INDEX(CarData,MATCH($H$19,HeaderCol,0),MATCH("CO2",Header,0)),TaxCO2,MIN($A21,2)+2,TRUE)</f>
        <v/>
      </c>
      <c r="J21" s="114">
        <f>IF($A21&gt;=Parameters!$B$27,INDEX(CarData,MATCH($H$19,HeaderCol,0),MATCH(J$6,Header,0)),0)</f>
        <v/>
      </c>
      <c r="K21" s="114">
        <f>Parameters!$B$10/INDEX(CarData,MATCH($H$19,HeaderCol,0),MATCH("Range",Header,0))*INDEX(CarData,MATCH($H$19,HeaderCol,0),MATCH("Battery capacity",Header,0))*Parameters!$B$23</f>
        <v/>
      </c>
      <c r="L21" s="114">
        <f>(H21+I21)*(1+Parameters!$B$26)^-($A21-1)</f>
        <v/>
      </c>
      <c r="M21" s="114">
        <f>(J21+K21)*(1+Parameters!$B$26)^-($A21-0.5)</f>
        <v/>
      </c>
      <c r="N21" s="118">
        <f>INDEX(CarData,MATCH($N$19,HeaderCol,0),MATCH(N$6,Header,0))</f>
        <v/>
      </c>
      <c r="O21" s="114">
        <f>VLOOKUP(INDEX(CarData,MATCH($N$19,HeaderCol,0),MATCH("CO2",Header,0)),TaxCO2,MIN($A21,2)+2,TRUE)</f>
        <v/>
      </c>
      <c r="P21" s="114">
        <f>IF($A21&gt;=Parameters!$B$27,INDEX(CarData,MATCH($N$19,HeaderCol,0),MATCH(P$6,Header,0)),0)</f>
        <v/>
      </c>
      <c r="Q21" s="114">
        <f>Parameters!$B$10/INDEX(CarData,MATCH($N$19,HeaderCol,0),MATCH("Range",Header,0))*INDEX(CarData,MATCH($N$19,HeaderCol,0),MATCH("Battery capacity",Header,0))*Parameters!$B$23</f>
        <v/>
      </c>
      <c r="R21" s="114">
        <f>(N21+O21)*(1+Parameters!$B$26)^-($A21-1)</f>
        <v/>
      </c>
      <c r="S21" s="114">
        <f>(P21+Q21)*(1+Parameters!$B$26)^-($A21-0.5)</f>
        <v/>
      </c>
    </row>
    <row r="22">
      <c r="A22" s="42" t="n">
        <v>2</v>
      </c>
      <c r="B22" s="114" t="n"/>
      <c r="C22" s="114">
        <f>VLOOKUP(INDEX(CarData,MATCH($B$19,HeaderCol,0),MATCH("CO2",Header,0)),TaxCO2,MIN($A22,2)+2,TRUE)</f>
        <v/>
      </c>
      <c r="D22" s="114">
        <f>IF($A22&gt;=Parameters!$B$27,INDEX(CarData,MATCH($B$19,HeaderCol,0),MATCH(D$6,Header,0)),0)</f>
        <v/>
      </c>
      <c r="E22" s="114">
        <f>Parameters!$B$10/INDEX(CarData,MATCH($B$19,HeaderCol,0),MATCH("Range",Header,0))*INDEX(CarData,MATCH($B$19,HeaderCol,0),MATCH("Battery capacity",Header,0))*Parameters!$B$23</f>
        <v/>
      </c>
      <c r="F22" s="114">
        <f>(B22+C22)*(1+Parameters!$B$26)^-($A22-1)</f>
        <v/>
      </c>
      <c r="G22" s="114">
        <f>(D22+E22)*(1+Parameters!$B$26)^-($A22-0.5)</f>
        <v/>
      </c>
      <c r="H22" s="114" t="n"/>
      <c r="I22" s="114">
        <f>VLOOKUP(INDEX(CarData,MATCH($H$19,HeaderCol,0),MATCH("CO2",Header,0)),TaxCO2,MIN($A22,2)+2,TRUE)</f>
        <v/>
      </c>
      <c r="J22" s="114">
        <f>IF($A22&gt;=Parameters!$B$27,INDEX(CarData,MATCH($H$19,HeaderCol,0),MATCH(J$6,Header,0)),0)</f>
        <v/>
      </c>
      <c r="K22" s="114">
        <f>Parameters!$B$10/INDEX(CarData,MATCH($H$19,HeaderCol,0),MATCH("Range",Header,0))*INDEX(CarData,MATCH($H$19,HeaderCol,0),MATCH("Battery capacity",Header,0))*Parameters!$B$23</f>
        <v/>
      </c>
      <c r="L22" s="114">
        <f>(H22+I22)*(1+Parameters!$B$26)^-($A22-1)</f>
        <v/>
      </c>
      <c r="M22" s="114">
        <f>(J22+K22)*(1+Parameters!$B$26)^-($A22-0.5)</f>
        <v/>
      </c>
      <c r="N22" s="114" t="n"/>
      <c r="O22" s="114">
        <f>VLOOKUP(INDEX(CarData,MATCH($N$19,HeaderCol,0),MATCH("CO2",Header,0)),TaxCO2,MIN($A22,2)+2,TRUE)</f>
        <v/>
      </c>
      <c r="P22" s="114">
        <f>IF($A22&gt;=Parameters!$B$27,INDEX(CarData,MATCH($N$19,HeaderCol,0),MATCH(P$6,Header,0)),0)</f>
        <v/>
      </c>
      <c r="Q22" s="114">
        <f>Parameters!$B$10/INDEX(CarData,MATCH($N$19,HeaderCol,0),MATCH("Range",Header,0))*INDEX(CarData,MATCH($N$19,HeaderCol,0),MATCH("Battery capacity",Header,0))*Parameters!$B$23</f>
        <v/>
      </c>
      <c r="R22" s="114">
        <f>(N22+O22)*(1+Parameters!$B$26)^-($A22-1)</f>
        <v/>
      </c>
      <c r="S22" s="114">
        <f>(P22+Q22)*(1+Parameters!$B$26)^-($A22-0.5)</f>
        <v/>
      </c>
    </row>
    <row r="23">
      <c r="A23" s="42" t="n">
        <v>3</v>
      </c>
      <c r="B23" s="114" t="n"/>
      <c r="C23" s="114">
        <f>VLOOKUP(INDEX(CarData,MATCH($B$19,HeaderCol,0),MATCH("CO2",Header,0)),TaxCO2,MIN($A23,2)+2,TRUE)</f>
        <v/>
      </c>
      <c r="D23" s="114">
        <f>IF($A23&gt;=Parameters!$B$27,INDEX(CarData,MATCH($B$19,HeaderCol,0),MATCH(D$6,Header,0)),0)</f>
        <v/>
      </c>
      <c r="E23" s="114">
        <f>Parameters!$B$10/INDEX(CarData,MATCH($B$19,HeaderCol,0),MATCH("Range",Header,0))*INDEX(CarData,MATCH($B$19,HeaderCol,0),MATCH("Battery capacity",Header,0))*Parameters!$B$23</f>
        <v/>
      </c>
      <c r="F23" s="114">
        <f>(B23+C23)*(1+Parameters!$B$26)^-($A23-1)</f>
        <v/>
      </c>
      <c r="G23" s="114">
        <f>(D23+E23)*(1+Parameters!$B$26)^-($A23-0.5)</f>
        <v/>
      </c>
      <c r="H23" s="114" t="n"/>
      <c r="I23" s="114">
        <f>VLOOKUP(INDEX(CarData,MATCH($H$19,HeaderCol,0),MATCH("CO2",Header,0)),TaxCO2,MIN($A23,2)+2,TRUE)</f>
        <v/>
      </c>
      <c r="J23" s="114">
        <f>IF($A23&gt;=Parameters!$B$27,INDEX(CarData,MATCH($H$19,HeaderCol,0),MATCH(J$6,Header,0)),0)</f>
        <v/>
      </c>
      <c r="K23" s="114">
        <f>Parameters!$B$10/INDEX(CarData,MATCH($H$19,HeaderCol,0),MATCH("Range",Header,0))*INDEX(CarData,MATCH($H$19,HeaderCol,0),MATCH("Battery capacity",Header,0))*Parameters!$B$23</f>
        <v/>
      </c>
      <c r="L23" s="114">
        <f>(H23+I23)*(1+Parameters!$B$26)^-($A23-1)</f>
        <v/>
      </c>
      <c r="M23" s="114">
        <f>(J23+K23)*(1+Parameters!$B$26)^-($A23-0.5)</f>
        <v/>
      </c>
      <c r="N23" s="114" t="n"/>
      <c r="O23" s="114">
        <f>VLOOKUP(INDEX(CarData,MATCH($N$19,HeaderCol,0),MATCH("CO2",Header,0)),TaxCO2,MIN($A23,2)+2,TRUE)</f>
        <v/>
      </c>
      <c r="P23" s="114">
        <f>IF($A23&gt;=Parameters!$B$27,INDEX(CarData,MATCH($N$19,HeaderCol,0),MATCH(P$6,Header,0)),0)</f>
        <v/>
      </c>
      <c r="Q23" s="114">
        <f>Parameters!$B$10/INDEX(CarData,MATCH($N$19,HeaderCol,0),MATCH("Range",Header,0))*INDEX(CarData,MATCH($N$19,HeaderCol,0),MATCH("Battery capacity",Header,0))*Parameters!$B$23</f>
        <v/>
      </c>
      <c r="R23" s="114">
        <f>(N23+O23)*(1+Parameters!$B$26)^-($A23-1)</f>
        <v/>
      </c>
      <c r="S23" s="114">
        <f>(P23+Q23)*(1+Parameters!$B$26)^-($A23-0.5)</f>
        <v/>
      </c>
    </row>
    <row r="24">
      <c r="A24" s="42" t="n">
        <v>4</v>
      </c>
      <c r="B24" s="114" t="n"/>
      <c r="C24" s="114">
        <f>VLOOKUP(INDEX(CarData,MATCH($B$19,HeaderCol,0),MATCH("CO2",Header,0)),TaxCO2,MIN($A24,2)+2,TRUE)</f>
        <v/>
      </c>
      <c r="D24" s="114">
        <f>IF($A24&gt;=Parameters!$B$27,INDEX(CarData,MATCH($B$19,HeaderCol,0),MATCH(D$6,Header,0)),0)</f>
        <v/>
      </c>
      <c r="E24" s="114">
        <f>Parameters!$B$10/INDEX(CarData,MATCH($B$19,HeaderCol,0),MATCH("Range",Header,0))*INDEX(CarData,MATCH($B$19,HeaderCol,0),MATCH("Battery capacity",Header,0))*Parameters!$B$23</f>
        <v/>
      </c>
      <c r="F24" s="114">
        <f>(B24+C24)*(1+Parameters!$B$26)^-($A24-1)</f>
        <v/>
      </c>
      <c r="G24" s="114">
        <f>(D24+E24)*(1+Parameters!$B$26)^-($A24-0.5)</f>
        <v/>
      </c>
      <c r="H24" s="114" t="n"/>
      <c r="I24" s="114">
        <f>VLOOKUP(INDEX(CarData,MATCH($H$19,HeaderCol,0),MATCH("CO2",Header,0)),TaxCO2,MIN($A24,2)+2,TRUE)</f>
        <v/>
      </c>
      <c r="J24" s="114">
        <f>IF($A24&gt;=Parameters!$B$27,INDEX(CarData,MATCH($H$19,HeaderCol,0),MATCH(J$6,Header,0)),0)</f>
        <v/>
      </c>
      <c r="K24" s="114">
        <f>Parameters!$B$10/INDEX(CarData,MATCH($H$19,HeaderCol,0),MATCH("Range",Header,0))*INDEX(CarData,MATCH($H$19,HeaderCol,0),MATCH("Battery capacity",Header,0))*Parameters!$B$23</f>
        <v/>
      </c>
      <c r="L24" s="114">
        <f>(H24+I24)*(1+Parameters!$B$26)^-($A24-1)</f>
        <v/>
      </c>
      <c r="M24" s="114">
        <f>(J24+K24)*(1+Parameters!$B$26)^-($A24-0.5)</f>
        <v/>
      </c>
      <c r="N24" s="114" t="n"/>
      <c r="O24" s="114">
        <f>VLOOKUP(INDEX(CarData,MATCH($N$19,HeaderCol,0),MATCH("CO2",Header,0)),TaxCO2,MIN($A24,2)+2,TRUE)</f>
        <v/>
      </c>
      <c r="P24" s="114">
        <f>IF($A24&gt;=Parameters!$B$27,INDEX(CarData,MATCH($N$19,HeaderCol,0),MATCH(P$6,Header,0)),0)</f>
        <v/>
      </c>
      <c r="Q24" s="114">
        <f>Parameters!$B$10/INDEX(CarData,MATCH($N$19,HeaderCol,0),MATCH("Range",Header,0))*INDEX(CarData,MATCH($N$19,HeaderCol,0),MATCH("Battery capacity",Header,0))*Parameters!$B$23</f>
        <v/>
      </c>
      <c r="R24" s="114">
        <f>(N24+O24)*(1+Parameters!$B$26)^-($A24-1)</f>
        <v/>
      </c>
      <c r="S24" s="114">
        <f>(P24+Q24)*(1+Parameters!$B$26)^-($A24-0.5)</f>
        <v/>
      </c>
    </row>
    <row r="25">
      <c r="A25" s="42" t="n">
        <v>5</v>
      </c>
      <c r="B25" s="114" t="n"/>
      <c r="C25" s="114">
        <f>VLOOKUP(INDEX(CarData,MATCH($B$19,HeaderCol,0),MATCH("CO2",Header,0)),TaxCO2,MIN($A25,2)+2,TRUE)</f>
        <v/>
      </c>
      <c r="D25" s="114">
        <f>IF($A25&gt;=Parameters!$B$27,INDEX(CarData,MATCH($B$19,HeaderCol,0),MATCH(D$6,Header,0)),0)</f>
        <v/>
      </c>
      <c r="E25" s="114">
        <f>Parameters!$B$10/INDEX(CarData,MATCH($B$19,HeaderCol,0),MATCH("Range",Header,0))*INDEX(CarData,MATCH($B$19,HeaderCol,0),MATCH("Battery capacity",Header,0))*Parameters!$B$23</f>
        <v/>
      </c>
      <c r="F25" s="114">
        <f>(B25+C25)*(1+Parameters!$B$26)^-($A25-1)</f>
        <v/>
      </c>
      <c r="G25" s="114">
        <f>(D25+E25)*(1+Parameters!$B$26)^-($A25-0.5)</f>
        <v/>
      </c>
      <c r="H25" s="114" t="n"/>
      <c r="I25" s="114">
        <f>VLOOKUP(INDEX(CarData,MATCH($H$19,HeaderCol,0),MATCH("CO2",Header,0)),TaxCO2,MIN($A25,2)+2,TRUE)</f>
        <v/>
      </c>
      <c r="J25" s="114">
        <f>IF($A25&gt;=Parameters!$B$27,INDEX(CarData,MATCH($H$19,HeaderCol,0),MATCH(J$6,Header,0)),0)</f>
        <v/>
      </c>
      <c r="K25" s="114">
        <f>Parameters!$B$10/INDEX(CarData,MATCH($H$19,HeaderCol,0),MATCH("Range",Header,0))*INDEX(CarData,MATCH($H$19,HeaderCol,0),MATCH("Battery capacity",Header,0))*Parameters!$B$23</f>
        <v/>
      </c>
      <c r="L25" s="114">
        <f>(H25+I25)*(1+Parameters!$B$26)^-($A25-1)</f>
        <v/>
      </c>
      <c r="M25" s="114">
        <f>(J25+K25)*(1+Parameters!$B$26)^-($A25-0.5)</f>
        <v/>
      </c>
      <c r="N25" s="114" t="n"/>
      <c r="O25" s="114">
        <f>VLOOKUP(INDEX(CarData,MATCH($N$19,HeaderCol,0),MATCH("CO2",Header,0)),TaxCO2,MIN($A25,2)+2,TRUE)</f>
        <v/>
      </c>
      <c r="P25" s="114">
        <f>IF($A25&gt;=Parameters!$B$27,INDEX(CarData,MATCH($N$19,HeaderCol,0),MATCH(P$6,Header,0)),0)</f>
        <v/>
      </c>
      <c r="Q25" s="114">
        <f>Parameters!$B$10/INDEX(CarData,MATCH($N$19,HeaderCol,0),MATCH("Range",Header,0))*INDEX(CarData,MATCH($N$19,HeaderCol,0),MATCH("Battery capacity",Header,0))*Parameters!$B$23</f>
        <v/>
      </c>
      <c r="R25" s="114">
        <f>(N25+O25)*(1+Parameters!$B$26)^-($A25-1)</f>
        <v/>
      </c>
      <c r="S25" s="114">
        <f>(P25+Q25)*(1+Parameters!$B$26)^-($A25-0.5)</f>
        <v/>
      </c>
    </row>
    <row r="26">
      <c r="A26" s="69" t="n"/>
      <c r="B26" s="70" t="n"/>
      <c r="C26" s="71" t="n"/>
      <c r="D26" s="71" t="n"/>
      <c r="E26" s="71" t="n"/>
      <c r="F26" s="71" t="n"/>
      <c r="G26" s="72" t="n"/>
      <c r="H26" s="70" t="n"/>
      <c r="I26" s="71" t="n"/>
      <c r="J26" s="71" t="n"/>
      <c r="K26" s="71" t="n"/>
      <c r="L26" s="71" t="n"/>
      <c r="M26" s="72" t="n"/>
      <c r="N26" s="70" t="n"/>
      <c r="O26" s="71" t="n"/>
      <c r="P26" s="71" t="n"/>
      <c r="Q26" s="71" t="n"/>
      <c r="R26" s="71" t="n"/>
      <c r="S26" s="72" t="n"/>
    </row>
    <row r="27">
      <c r="A27" s="73" t="inlineStr">
        <is>
          <t>Price of Car</t>
        </is>
      </c>
      <c r="B27" s="74" t="n"/>
      <c r="G27" s="119">
        <f>B21</f>
        <v/>
      </c>
      <c r="H27" s="74" t="n"/>
      <c r="M27" s="119">
        <f>H21</f>
        <v/>
      </c>
      <c r="N27" s="74" t="n"/>
      <c r="S27" s="119">
        <f>N21</f>
        <v/>
      </c>
    </row>
    <row r="28" ht="31.2" customHeight="1">
      <c r="A28" s="76" t="inlineStr">
        <is>
          <t>PV Total cost of ownership</t>
        </is>
      </c>
      <c r="B28" s="74" t="n"/>
      <c r="G28" s="120">
        <f>SUM(F21:G25)</f>
        <v/>
      </c>
      <c r="H28" s="74" t="n"/>
      <c r="M28" s="120">
        <f>SUM(L21:M25)</f>
        <v/>
      </c>
      <c r="N28" s="74" t="n"/>
      <c r="S28" s="120">
        <f>SUM(R21:S25)</f>
        <v/>
      </c>
    </row>
    <row r="29">
      <c r="A29" s="76" t="inlineStr">
        <is>
          <t>Profit</t>
        </is>
      </c>
      <c r="B29" s="74" t="n"/>
      <c r="G29" s="120">
        <f>INDEX(CarData,MATCH($B$19,HeaderCol,0),MATCH("Profit Margin",Header,0))*G27</f>
        <v/>
      </c>
      <c r="H29" s="74" t="n"/>
      <c r="M29" s="120">
        <f>INDEX(CarData,MATCH($H$19,HeaderCol,0),MATCH("Profit Margin",Header,0))*M27</f>
        <v/>
      </c>
      <c r="N29" s="74" t="n"/>
      <c r="S29" s="120">
        <f>INDEX(CarData,MATCH($N$19,HeaderCol,0),MATCH("Profit Margin",Header,0))*S27</f>
        <v/>
      </c>
    </row>
    <row r="30" ht="31.2" customHeight="1">
      <c r="A30" s="83" t="inlineStr">
        <is>
          <t>Manufacturing costs</t>
        </is>
      </c>
      <c r="B30" s="78" t="n"/>
      <c r="C30" s="79" t="n"/>
      <c r="D30" s="79" t="n"/>
      <c r="E30" s="79" t="n"/>
      <c r="F30" s="79" t="n"/>
      <c r="G30" s="121">
        <f>G27-G29</f>
        <v/>
      </c>
      <c r="H30" s="78" t="n"/>
      <c r="I30" s="79" t="n"/>
      <c r="J30" s="79" t="n"/>
      <c r="K30" s="79" t="n"/>
      <c r="L30" s="79" t="n"/>
      <c r="M30" s="121">
        <f>M27-M29</f>
        <v/>
      </c>
      <c r="N30" s="78" t="n"/>
      <c r="O30" s="79" t="n"/>
      <c r="P30" s="79" t="n"/>
      <c r="Q30" s="79" t="n"/>
      <c r="R30" s="79" t="n"/>
      <c r="S30" s="121">
        <f>S27-S29</f>
        <v/>
      </c>
    </row>
  </sheetData>
  <printOptions gridLines="1" gridLinesSet="0"/>
  <pageMargins left="0.7" right="0.7" top="0.75" bottom="0.75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ColWidth="11.19921875" defaultRowHeight="15.6"/>
  <cols>
    <col width="18.796875" bestFit="1" customWidth="1" min="1" max="1"/>
    <col width="11.19921875" bestFit="1" customWidth="1" min="2" max="2"/>
    <col width="14.19921875" bestFit="1" customWidth="1" min="3" max="3"/>
    <col width="16.19921875" bestFit="1" customWidth="1" min="4" max="5"/>
    <col width="13.796875" customWidth="1" min="6" max="6"/>
  </cols>
  <sheetData>
    <row r="1" ht="18" customHeight="1">
      <c r="A1" s="1" t="inlineStr">
        <is>
          <t>Profit calculations</t>
        </is>
      </c>
    </row>
    <row r="3" ht="31.2" customHeight="1">
      <c r="B3" s="2" t="inlineStr">
        <is>
          <t>Sales</t>
        </is>
      </c>
      <c r="C3" s="2" t="inlineStr">
        <is>
          <t>Profit</t>
        </is>
      </c>
      <c r="D3" s="2" t="inlineStr">
        <is>
          <t>Revenue</t>
        </is>
      </c>
      <c r="E3" s="2" t="inlineStr">
        <is>
          <t>Cost of Ownership</t>
        </is>
      </c>
      <c r="F3" s="122" t="inlineStr">
        <is>
          <t>Manufacturing costs</t>
        </is>
      </c>
    </row>
    <row r="4">
      <c r="A4" t="inlineStr">
        <is>
          <t>Small Petrol</t>
        </is>
      </c>
      <c r="B4" s="102">
        <f>INDEX(Data!N:N,MATCH($A4,Data!A:A,0))</f>
        <v/>
      </c>
      <c r="C4" s="102">
        <f>$B4*'Calculations-Base'!G15</f>
        <v/>
      </c>
      <c r="D4" s="102">
        <f>$B4*'Calculations-Base'!$G13</f>
        <v/>
      </c>
      <c r="E4" s="102">
        <f>$B4*'Calculations-Base'!$G14</f>
        <v/>
      </c>
      <c r="F4" s="102">
        <f>$B4*'Calculations-Base'!$G16</f>
        <v/>
      </c>
    </row>
    <row r="5">
      <c r="A5" t="inlineStr">
        <is>
          <t>Medium Petrol</t>
        </is>
      </c>
      <c r="B5" s="102">
        <f>INDEX(Data!N:N,MATCH($A5,Data!A:A,0))</f>
        <v/>
      </c>
      <c r="C5" s="102">
        <f>$B5*'Calculations-Base'!M15</f>
        <v/>
      </c>
      <c r="D5" s="102">
        <f>$B5*'Calculations-Base'!$M13</f>
        <v/>
      </c>
      <c r="E5" s="102">
        <f>$B5*'Calculations-Base'!$M14</f>
        <v/>
      </c>
      <c r="F5" s="102">
        <f>$B5*'Calculations-Base'!$M16</f>
        <v/>
      </c>
    </row>
    <row r="6">
      <c r="A6" t="inlineStr">
        <is>
          <t>Large Petrol</t>
        </is>
      </c>
      <c r="B6" s="102">
        <f>INDEX(Data!N:N,MATCH($A6,Data!A:A,0))</f>
        <v/>
      </c>
      <c r="C6" s="102">
        <f>$B6*'Calculations-Base'!S15</f>
        <v/>
      </c>
      <c r="D6" s="102">
        <f>$B6*'Calculations-Base'!$S13</f>
        <v/>
      </c>
      <c r="E6" s="102">
        <f>$B6*'Calculations-Base'!$S14</f>
        <v/>
      </c>
      <c r="F6" s="102">
        <f>$B6*'Calculations-Base'!$S16</f>
        <v/>
      </c>
    </row>
    <row r="7">
      <c r="A7" t="inlineStr">
        <is>
          <t>Small Electric</t>
        </is>
      </c>
      <c r="B7" s="102">
        <f>INDEX(Data!N:N,MATCH($A7,Data!A:A,0))</f>
        <v/>
      </c>
      <c r="C7" s="102">
        <f>$B7*'Calculations-Base'!G29</f>
        <v/>
      </c>
      <c r="D7" s="102">
        <f>$B7*'Calculations-Base'!$G27</f>
        <v/>
      </c>
      <c r="E7" s="102">
        <f>$B7*'Calculations-Base'!$G28</f>
        <v/>
      </c>
      <c r="F7" s="102">
        <f>$B7*'Calculations-Base'!$G30</f>
        <v/>
      </c>
    </row>
    <row r="8">
      <c r="A8" t="inlineStr">
        <is>
          <t>Medium Electric</t>
        </is>
      </c>
      <c r="B8" s="102">
        <f>INDEX(Data!N:N,MATCH($A8,Data!A:A,0))</f>
        <v/>
      </c>
      <c r="C8" s="102">
        <f>$B8*'Calculations-Base'!M29</f>
        <v/>
      </c>
      <c r="D8" s="102">
        <f>$B8*'Calculations-Base'!$M27</f>
        <v/>
      </c>
      <c r="E8" s="102">
        <f>$B8*'Calculations-Base'!$M28</f>
        <v/>
      </c>
      <c r="F8" s="102">
        <f>$B8*'Calculations-Base'!$M30</f>
        <v/>
      </c>
    </row>
    <row r="9">
      <c r="A9" t="inlineStr">
        <is>
          <t>Large Electric</t>
        </is>
      </c>
      <c r="B9" s="102">
        <f>INDEX(Data!N:N,MATCH($A9,Data!A:A,0))</f>
        <v/>
      </c>
      <c r="C9" s="102">
        <f>$B9*'Calculations-Base'!S29</f>
        <v/>
      </c>
      <c r="D9" s="102">
        <f>$B9*'Calculations-Base'!$S27</f>
        <v/>
      </c>
      <c r="E9" s="102">
        <f>$B9*'Calculations-Base'!$S28</f>
        <v/>
      </c>
      <c r="F9" s="102">
        <f>$B9*'Calculations-Base'!$S30</f>
        <v/>
      </c>
    </row>
    <row r="10">
      <c r="B10" s="102" t="n"/>
      <c r="C10" s="102" t="n"/>
      <c r="D10" s="102" t="n"/>
      <c r="E10" s="102" t="n"/>
    </row>
    <row r="11">
      <c r="A11" t="inlineStr">
        <is>
          <t>Total</t>
        </is>
      </c>
      <c r="B11" s="102">
        <f>SUM(B4:B10)</f>
        <v/>
      </c>
      <c r="C11" s="102">
        <f>SUM(C4:C10)</f>
        <v/>
      </c>
      <c r="D11" s="102">
        <f>SUM(D4:D10)</f>
        <v/>
      </c>
      <c r="E11" s="102">
        <f>SUM(E4:E10)</f>
        <v/>
      </c>
      <c r="F11" s="102">
        <f>SUM(F4:F10)</f>
        <v/>
      </c>
    </row>
    <row r="13">
      <c r="A13" t="inlineStr">
        <is>
          <t>Check total sales:</t>
        </is>
      </c>
      <c r="B13">
        <f>IF(B11=Data!$N$10,"OK","Check")</f>
        <v/>
      </c>
    </row>
  </sheetData>
  <printOptions gridLines="1" gridLinesSet="0"/>
  <pageMargins left="0.7" right="0.7" top="0.75" bottom="0.75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ColWidth="11.19921875" defaultRowHeight="15.6"/>
  <cols>
    <col width="14.69921875" customWidth="1" min="1" max="1"/>
    <col width="11.296875" customWidth="1" min="6" max="6"/>
  </cols>
  <sheetData>
    <row r="1" ht="21" customHeight="1">
      <c r="A1" s="61" t="inlineStr">
        <is>
          <t>Tax based on Weight</t>
        </is>
      </c>
    </row>
    <row r="2">
      <c r="A2" t="inlineStr">
        <is>
          <t>Calculates the total cost of ownership for all cars in the current range under the new tax regime.</t>
        </is>
      </c>
    </row>
    <row r="5" ht="18" customHeight="1">
      <c r="B5" s="62" t="inlineStr">
        <is>
          <t>Small Petrol</t>
        </is>
      </c>
      <c r="C5" s="63" t="n"/>
      <c r="D5" s="63" t="n"/>
      <c r="E5" s="63" t="n"/>
      <c r="F5" s="63" t="n"/>
      <c r="G5" s="41" t="n"/>
      <c r="H5" s="62" t="inlineStr">
        <is>
          <t>Medium Petrol</t>
        </is>
      </c>
      <c r="I5" s="64" t="n"/>
      <c r="J5" s="64" t="n"/>
      <c r="K5" s="64" t="n"/>
      <c r="L5" s="64" t="n"/>
      <c r="M5" s="65" t="n"/>
      <c r="N5" s="62" t="inlineStr">
        <is>
          <t>Large Petrol</t>
        </is>
      </c>
      <c r="O5" s="63" t="n"/>
      <c r="P5" s="63" t="n"/>
      <c r="Q5" s="63" t="n"/>
      <c r="R5" s="63" t="n"/>
      <c r="S5" s="41" t="n"/>
    </row>
    <row r="6" ht="31.2" customHeight="1">
      <c r="A6" s="66" t="inlineStr">
        <is>
          <t>Year</t>
        </is>
      </c>
      <c r="B6" s="66" t="inlineStr">
        <is>
          <t>Price</t>
        </is>
      </c>
      <c r="C6" s="66" t="inlineStr">
        <is>
          <t>Tax</t>
        </is>
      </c>
      <c r="D6" s="67" t="inlineStr">
        <is>
          <t>Annual service cost</t>
        </is>
      </c>
      <c r="E6" s="66" t="inlineStr">
        <is>
          <t>Fuel</t>
        </is>
      </c>
      <c r="F6" s="66" t="inlineStr">
        <is>
          <t>PV start</t>
        </is>
      </c>
      <c r="G6" s="66" t="inlineStr">
        <is>
          <t>PV mid</t>
        </is>
      </c>
      <c r="H6" s="66" t="inlineStr">
        <is>
          <t>Price</t>
        </is>
      </c>
      <c r="I6" s="66" t="inlineStr">
        <is>
          <t>Tax</t>
        </is>
      </c>
      <c r="J6" s="67" t="inlineStr">
        <is>
          <t>Annual service cost</t>
        </is>
      </c>
      <c r="K6" s="66" t="inlineStr">
        <is>
          <t>Fuel</t>
        </is>
      </c>
      <c r="L6" s="66" t="inlineStr">
        <is>
          <t>PV start</t>
        </is>
      </c>
      <c r="M6" s="66" t="inlineStr">
        <is>
          <t>PV mid</t>
        </is>
      </c>
      <c r="N6" s="66" t="inlineStr">
        <is>
          <t>Price</t>
        </is>
      </c>
      <c r="O6" s="66" t="inlineStr">
        <is>
          <t>Tax</t>
        </is>
      </c>
      <c r="P6" s="67" t="inlineStr">
        <is>
          <t>Annual service cost</t>
        </is>
      </c>
      <c r="Q6" s="66" t="inlineStr">
        <is>
          <t>Fuel</t>
        </is>
      </c>
      <c r="R6" s="66" t="inlineStr">
        <is>
          <t>PV start</t>
        </is>
      </c>
      <c r="S6" s="66" t="inlineStr">
        <is>
          <t>PV mid</t>
        </is>
      </c>
    </row>
    <row r="7">
      <c r="A7" s="42" t="n">
        <v>1</v>
      </c>
      <c r="B7" s="118">
        <f>INDEX(CarData,MATCH($B$5,HeaderCol,0),MATCH(B$6,Header,0))</f>
        <v/>
      </c>
      <c r="C7" s="114">
        <f>VLOOKUP(INDEX(CarData,MATCH($B$5,HeaderCol,0),MATCH("Weight",Header,0)),TaxWeight,3,TRUE)</f>
        <v/>
      </c>
      <c r="D7" s="114">
        <f>IF($A7&gt;=Parameters!$B$27,INDEX(CarData,MATCH($B$5,HeaderCol,0),MATCH(D$6,Header,0)),0)</f>
        <v/>
      </c>
      <c r="E7" s="114">
        <f>Parameters!$B$10*INDEX(CarData,MATCH($B$5,HeaderCol,0),MATCH("Fuel",Header,0))/100*Parameters!$B$24</f>
        <v/>
      </c>
      <c r="F7" s="114">
        <f>(B7+C7)*(1+Parameters!$B$26)^-($A7-1)</f>
        <v/>
      </c>
      <c r="G7" s="114">
        <f>(D7+E7)*(1+Parameters!$B$26)^-($A7-0.5)</f>
        <v/>
      </c>
      <c r="H7" s="118">
        <f>INDEX(CarData,MATCH($H$5,HeaderCol,0),MATCH(H$6,Header,0))</f>
        <v/>
      </c>
      <c r="I7" s="114">
        <f>VLOOKUP(INDEX(CarData,MATCH($H$5,HeaderCol,0),MATCH("Weight",Header,0)),TaxWeight,3,TRUE)</f>
        <v/>
      </c>
      <c r="J7" s="114">
        <f>IF($A7&gt;=Parameters!$B$27,INDEX(CarData,MATCH($H$5,HeaderCol,0),MATCH(J$6,Header,0)),0)</f>
        <v/>
      </c>
      <c r="K7" s="114">
        <f>Parameters!$B$10*INDEX(CarData,MATCH($H$5,HeaderCol,0),MATCH("Fuel",Header,0))/100*Parameters!$B$24</f>
        <v/>
      </c>
      <c r="L7" s="114">
        <f>(H7+I7)*(1+Parameters!$B$26)^-($A7-1)</f>
        <v/>
      </c>
      <c r="M7" s="114">
        <f>(J7+K7)*(1+Parameters!$B$26)^-($A7-0.5)</f>
        <v/>
      </c>
      <c r="N7" s="118">
        <f>INDEX(CarData,MATCH($N$5,HeaderCol,0),MATCH(N$6,Header,0))</f>
        <v/>
      </c>
      <c r="O7" s="114">
        <f>VLOOKUP(INDEX(CarData,MATCH($N$5,HeaderCol,0),MATCH("Weight",Header,0)),TaxWeight,3,TRUE)</f>
        <v/>
      </c>
      <c r="P7" s="114">
        <f>IF($A7&gt;=Parameters!$B$27,INDEX(CarData,MATCH($N$5,HeaderCol,0),MATCH(P$6,Header,0)),0)</f>
        <v/>
      </c>
      <c r="Q7" s="114">
        <f>Parameters!$B$10*INDEX(CarData,MATCH($N$5,HeaderCol,0),MATCH("Fuel",Header,0))/100*Parameters!$B$24</f>
        <v/>
      </c>
      <c r="R7" s="114">
        <f>(N7+O7)*(1+Parameters!$B$26)^-($A7-1)</f>
        <v/>
      </c>
      <c r="S7" s="114">
        <f>(P7+Q7)*(1+Parameters!$B$26)^-($A7-0.5)</f>
        <v/>
      </c>
    </row>
    <row r="8">
      <c r="A8" s="42" t="n">
        <v>2</v>
      </c>
      <c r="B8" s="114" t="n"/>
      <c r="C8" s="114">
        <f>VLOOKUP(INDEX(CarData,MATCH($B$5,HeaderCol,0),MATCH("Weight",Header,0)),TaxWeight,3,TRUE)</f>
        <v/>
      </c>
      <c r="D8" s="114">
        <f>IF($A8&gt;=Parameters!$B$27,INDEX(CarData,MATCH($B$5,HeaderCol,0),MATCH(D$6,Header,0)),0)</f>
        <v/>
      </c>
      <c r="E8" s="114">
        <f>Parameters!$B$10*INDEX(CarData,MATCH($B$5,HeaderCol,0),MATCH("Fuel",Header,0))/100*Parameters!$B$24</f>
        <v/>
      </c>
      <c r="F8" s="114">
        <f>(B8+C8)*(1+Parameters!$B$26)^-($A8-1)</f>
        <v/>
      </c>
      <c r="G8" s="114">
        <f>(D8+E8)*(1+Parameters!$B$26)^-($A8-0.5)</f>
        <v/>
      </c>
      <c r="H8" s="114" t="n"/>
      <c r="I8" s="114">
        <f>VLOOKUP(INDEX(CarData,MATCH($H$5,HeaderCol,0),MATCH("Weight",Header,0)),TaxWeight,3,TRUE)</f>
        <v/>
      </c>
      <c r="J8" s="114">
        <f>IF($A8&gt;=Parameters!$B$27,INDEX(CarData,MATCH($H$5,HeaderCol,0),MATCH(J$6,Header,0)),0)</f>
        <v/>
      </c>
      <c r="K8" s="114">
        <f>Parameters!$B$10*INDEX(CarData,MATCH($H$5,HeaderCol,0),MATCH("Fuel",Header,0))/100*Parameters!$B$24</f>
        <v/>
      </c>
      <c r="L8" s="114">
        <f>(H8+I8)*(1+Parameters!$B$26)^-($A8-1)</f>
        <v/>
      </c>
      <c r="M8" s="114">
        <f>(J8+K8)*(1+Parameters!$B$26)^-($A8-0.5)</f>
        <v/>
      </c>
      <c r="N8" s="114" t="n"/>
      <c r="O8" s="114">
        <f>VLOOKUP(INDEX(CarData,MATCH($N$5,HeaderCol,0),MATCH("Weight",Header,0)),TaxWeight,3,TRUE)</f>
        <v/>
      </c>
      <c r="P8" s="114">
        <f>IF($A8&gt;=Parameters!$B$27,INDEX(CarData,MATCH($N$5,HeaderCol,0),MATCH(P$6,Header,0)),0)</f>
        <v/>
      </c>
      <c r="Q8" s="114">
        <f>Parameters!$B$10*INDEX(CarData,MATCH($N$5,HeaderCol,0),MATCH("Fuel",Header,0))/100*Parameters!$B$24</f>
        <v/>
      </c>
      <c r="R8" s="114">
        <f>(N8+O8)*(1+Parameters!$B$26)^-($A8-1)</f>
        <v/>
      </c>
      <c r="S8" s="114">
        <f>(P8+Q8)*(1+Parameters!$B$26)^-($A8-0.5)</f>
        <v/>
      </c>
    </row>
    <row r="9">
      <c r="A9" s="42" t="n">
        <v>3</v>
      </c>
      <c r="B9" s="114" t="n"/>
      <c r="C9" s="114">
        <f>VLOOKUP(INDEX(CarData,MATCH($B$5,HeaderCol,0),MATCH("Weight",Header,0)),TaxWeight,3,TRUE)</f>
        <v/>
      </c>
      <c r="D9" s="114">
        <f>IF($A9&gt;=Parameters!$B$27,INDEX(CarData,MATCH($B$5,HeaderCol,0),MATCH(D$6,Header,0)),0)</f>
        <v/>
      </c>
      <c r="E9" s="114">
        <f>Parameters!$B$10*INDEX(CarData,MATCH($B$5,HeaderCol,0),MATCH("Fuel",Header,0))/100*Parameters!$B$24</f>
        <v/>
      </c>
      <c r="F9" s="114">
        <f>(B9+C9)*(1+Parameters!$B$26)^-($A9-1)</f>
        <v/>
      </c>
      <c r="G9" s="114">
        <f>(D9+E9)*(1+Parameters!$B$26)^-($A9-0.5)</f>
        <v/>
      </c>
      <c r="H9" s="114" t="n"/>
      <c r="I9" s="114">
        <f>VLOOKUP(INDEX(CarData,MATCH($H$5,HeaderCol,0),MATCH("Weight",Header,0)),TaxWeight,3,TRUE)</f>
        <v/>
      </c>
      <c r="J9" s="114">
        <f>IF($A9&gt;=Parameters!$B$27,INDEX(CarData,MATCH($H$5,HeaderCol,0),MATCH(J$6,Header,0)),0)</f>
        <v/>
      </c>
      <c r="K9" s="114">
        <f>Parameters!$B$10*INDEX(CarData,MATCH($H$5,HeaderCol,0),MATCH("Fuel",Header,0))/100*Parameters!$B$24</f>
        <v/>
      </c>
      <c r="L9" s="114">
        <f>(H9+I9)*(1+Parameters!$B$26)^-($A9-1)</f>
        <v/>
      </c>
      <c r="M9" s="114">
        <f>(J9+K9)*(1+Parameters!$B$26)^-($A9-0.5)</f>
        <v/>
      </c>
      <c r="N9" s="114" t="n"/>
      <c r="O9" s="114">
        <f>VLOOKUP(INDEX(CarData,MATCH($N$5,HeaderCol,0),MATCH("Weight",Header,0)),TaxWeight,3,TRUE)</f>
        <v/>
      </c>
      <c r="P9" s="114">
        <f>IF($A9&gt;=Parameters!$B$27,INDEX(CarData,MATCH($N$5,HeaderCol,0),MATCH(P$6,Header,0)),0)</f>
        <v/>
      </c>
      <c r="Q9" s="114">
        <f>Parameters!$B$10*INDEX(CarData,MATCH($N$5,HeaderCol,0),MATCH("Fuel",Header,0))/100*Parameters!$B$24</f>
        <v/>
      </c>
      <c r="R9" s="114">
        <f>(N9+O9)*(1+Parameters!$B$26)^-($A9-1)</f>
        <v/>
      </c>
      <c r="S9" s="114">
        <f>(P9+Q9)*(1+Parameters!$B$26)^-($A9-0.5)</f>
        <v/>
      </c>
    </row>
    <row r="10">
      <c r="A10" s="42" t="n">
        <v>4</v>
      </c>
      <c r="B10" s="114" t="n"/>
      <c r="C10" s="114">
        <f>VLOOKUP(INDEX(CarData,MATCH($B$5,HeaderCol,0),MATCH("Weight",Header,0)),TaxWeight,3,TRUE)</f>
        <v/>
      </c>
      <c r="D10" s="114">
        <f>IF($A10&gt;=Parameters!$B$27,INDEX(CarData,MATCH($B$5,HeaderCol,0),MATCH(D$6,Header,0)),0)</f>
        <v/>
      </c>
      <c r="E10" s="114">
        <f>Parameters!$B$10*INDEX(CarData,MATCH($B$5,HeaderCol,0),MATCH("Fuel",Header,0))/100*Parameters!$B$24</f>
        <v/>
      </c>
      <c r="F10" s="114">
        <f>(B10+C10)*(1+Parameters!$B$26)^-($A10-1)</f>
        <v/>
      </c>
      <c r="G10" s="114">
        <f>(D10+E10)*(1+Parameters!$B$26)^-($A10-0.5)</f>
        <v/>
      </c>
      <c r="H10" s="114" t="n"/>
      <c r="I10" s="114">
        <f>VLOOKUP(INDEX(CarData,MATCH($H$5,HeaderCol,0),MATCH("Weight",Header,0)),TaxWeight,3,TRUE)</f>
        <v/>
      </c>
      <c r="J10" s="114">
        <f>IF($A10&gt;=Parameters!$B$27,INDEX(CarData,MATCH($H$5,HeaderCol,0),MATCH(J$6,Header,0)),0)</f>
        <v/>
      </c>
      <c r="K10" s="114">
        <f>Parameters!$B$10*INDEX(CarData,MATCH($H$5,HeaderCol,0),MATCH("Fuel",Header,0))/100*Parameters!$B$24</f>
        <v/>
      </c>
      <c r="L10" s="114">
        <f>(H10+I10)*(1+Parameters!$B$26)^-($A10-1)</f>
        <v/>
      </c>
      <c r="M10" s="114">
        <f>(J10+K10)*(1+Parameters!$B$26)^-($A10-0.5)</f>
        <v/>
      </c>
      <c r="N10" s="114" t="n"/>
      <c r="O10" s="114">
        <f>VLOOKUP(INDEX(CarData,MATCH($N$5,HeaderCol,0),MATCH("Weight",Header,0)),TaxWeight,3,TRUE)</f>
        <v/>
      </c>
      <c r="P10" s="114">
        <f>IF($A10&gt;=Parameters!$B$27,INDEX(CarData,MATCH($N$5,HeaderCol,0),MATCH(P$6,Header,0)),0)</f>
        <v/>
      </c>
      <c r="Q10" s="114">
        <f>Parameters!$B$10*INDEX(CarData,MATCH($N$5,HeaderCol,0),MATCH("Fuel",Header,0))/100*Parameters!$B$24</f>
        <v/>
      </c>
      <c r="R10" s="114">
        <f>(N10+O10)*(1+Parameters!$B$26)^-($A10-1)</f>
        <v/>
      </c>
      <c r="S10" s="114">
        <f>(P10+Q10)*(1+Parameters!$B$26)^-($A10-0.5)</f>
        <v/>
      </c>
    </row>
    <row r="11">
      <c r="A11" s="42" t="n">
        <v>5</v>
      </c>
      <c r="B11" s="114" t="n"/>
      <c r="C11" s="114">
        <f>VLOOKUP(INDEX(CarData,MATCH($B$5,HeaderCol,0),MATCH("Weight",Header,0)),TaxWeight,3,TRUE)</f>
        <v/>
      </c>
      <c r="D11" s="114">
        <f>IF($A11&gt;=Parameters!$B$27,INDEX(CarData,MATCH($B$5,HeaderCol,0),MATCH(D$6,Header,0)),0)</f>
        <v/>
      </c>
      <c r="E11" s="114">
        <f>Parameters!$B$10*INDEX(CarData,MATCH($B$5,HeaderCol,0),MATCH("Fuel",Header,0))/100*Parameters!$B$24</f>
        <v/>
      </c>
      <c r="F11" s="114">
        <f>(B11+C11)*(1+Parameters!$B$26)^-($A11-1)</f>
        <v/>
      </c>
      <c r="G11" s="114">
        <f>(D11+E11)*(1+Parameters!$B$26)^-($A11-0.5)</f>
        <v/>
      </c>
      <c r="H11" s="114" t="n"/>
      <c r="I11" s="114">
        <f>VLOOKUP(INDEX(CarData,MATCH($H$5,HeaderCol,0),MATCH("Weight",Header,0)),TaxWeight,3,TRUE)</f>
        <v/>
      </c>
      <c r="J11" s="114">
        <f>IF($A11&gt;=Parameters!$B$27,INDEX(CarData,MATCH($H$5,HeaderCol,0),MATCH(J$6,Header,0)),0)</f>
        <v/>
      </c>
      <c r="K11" s="114">
        <f>Parameters!$B$10*INDEX(CarData,MATCH($H$5,HeaderCol,0),MATCH("Fuel",Header,0))/100*Parameters!$B$24</f>
        <v/>
      </c>
      <c r="L11" s="114">
        <f>(H11+I11)*(1+Parameters!$B$26)^-($A11-1)</f>
        <v/>
      </c>
      <c r="M11" s="114">
        <f>(J11+K11)*(1+Parameters!$B$26)^-($A11-0.5)</f>
        <v/>
      </c>
      <c r="N11" s="114" t="n"/>
      <c r="O11" s="114">
        <f>VLOOKUP(INDEX(CarData,MATCH($N$5,HeaderCol,0),MATCH("Weight",Header,0)),TaxWeight,3,TRUE)</f>
        <v/>
      </c>
      <c r="P11" s="114">
        <f>IF($A11&gt;=Parameters!$B$27,INDEX(CarData,MATCH($N$5,HeaderCol,0),MATCH(P$6,Header,0)),0)</f>
        <v/>
      </c>
      <c r="Q11" s="114">
        <f>Parameters!$B$10*INDEX(CarData,MATCH($N$5,HeaderCol,0),MATCH("Fuel",Header,0))/100*Parameters!$B$24</f>
        <v/>
      </c>
      <c r="R11" s="114">
        <f>(N11+O11)*(1+Parameters!$B$26)^-($A11-1)</f>
        <v/>
      </c>
      <c r="S11" s="114">
        <f>(P11+Q11)*(1+Parameters!$B$26)^-($A11-0.5)</f>
        <v/>
      </c>
    </row>
    <row r="12">
      <c r="A12" s="69" t="n"/>
      <c r="B12" s="70" t="n"/>
      <c r="C12" s="71" t="n"/>
      <c r="D12" s="71" t="n"/>
      <c r="E12" s="71" t="n"/>
      <c r="F12" s="71" t="n"/>
      <c r="G12" s="72" t="n"/>
      <c r="H12" s="70" t="n"/>
      <c r="I12" s="71" t="n"/>
      <c r="J12" s="71" t="n"/>
      <c r="K12" s="71" t="n"/>
      <c r="L12" s="71" t="n"/>
      <c r="M12" s="72" t="n"/>
      <c r="N12" s="70" t="n"/>
      <c r="O12" s="71" t="n"/>
      <c r="P12" s="71" t="n"/>
      <c r="Q12" s="71" t="n"/>
      <c r="R12" s="71" t="n"/>
      <c r="S12" s="72" t="n"/>
    </row>
    <row r="13">
      <c r="A13" s="73" t="inlineStr">
        <is>
          <t>Price of Car</t>
        </is>
      </c>
      <c r="B13" s="74" t="n"/>
      <c r="G13" s="119">
        <f>B7</f>
        <v/>
      </c>
      <c r="H13" s="74" t="n"/>
      <c r="M13" s="119">
        <f>H7</f>
        <v/>
      </c>
      <c r="N13" s="74" t="n"/>
      <c r="S13" s="119">
        <f>N7</f>
        <v/>
      </c>
    </row>
    <row r="14" ht="31.2" customHeight="1">
      <c r="A14" s="76" t="inlineStr">
        <is>
          <t>PV Total cost of ownership</t>
        </is>
      </c>
      <c r="B14" s="74" t="n"/>
      <c r="G14" s="120">
        <f>SUM(F7:G11)</f>
        <v/>
      </c>
      <c r="H14" s="74" t="n"/>
      <c r="M14" s="120">
        <f>SUM(L7:M11)</f>
        <v/>
      </c>
      <c r="N14" s="74" t="n"/>
      <c r="S14" s="120">
        <f>SUM(R7:S11)</f>
        <v/>
      </c>
    </row>
    <row r="15" ht="27" customHeight="1">
      <c r="A15" s="76" t="inlineStr">
        <is>
          <t>Profit</t>
        </is>
      </c>
      <c r="B15" s="74" t="n"/>
      <c r="G15" s="120">
        <f>INDEX(CarData,MATCH($B$5,HeaderCol,0),MATCH("Profit Margin",Header,0))*G13</f>
        <v/>
      </c>
      <c r="H15" s="74" t="n"/>
      <c r="M15" s="120">
        <f>INDEX(CarData,MATCH($H$5,HeaderCol,0),MATCH("Profit Margin",Header,0))*M13</f>
        <v/>
      </c>
      <c r="N15" s="74" t="n"/>
      <c r="S15" s="120">
        <f>INDEX(CarData,MATCH($N$5,HeaderCol,0),MATCH("Profit Margin",Header,0))*S13</f>
        <v/>
      </c>
    </row>
    <row r="16" ht="31.2" customHeight="1">
      <c r="A16" s="83" t="inlineStr">
        <is>
          <t>Manufacturing costs</t>
        </is>
      </c>
      <c r="B16" s="78" t="n"/>
      <c r="C16" s="79" t="n"/>
      <c r="D16" s="79" t="n"/>
      <c r="E16" s="79" t="n"/>
      <c r="F16" s="79" t="n"/>
      <c r="G16" s="121">
        <f>G13-G15</f>
        <v/>
      </c>
      <c r="H16" s="78" t="n"/>
      <c r="I16" s="79" t="n"/>
      <c r="J16" s="79" t="n"/>
      <c r="K16" s="79" t="n"/>
      <c r="L16" s="79" t="n"/>
      <c r="M16" s="121">
        <f>M13-M15</f>
        <v/>
      </c>
      <c r="N16" s="78" t="n"/>
      <c r="O16" s="79" t="n"/>
      <c r="P16" s="79" t="n"/>
      <c r="Q16" s="79" t="n"/>
      <c r="R16" s="79" t="n"/>
      <c r="S16" s="121">
        <f>S13-S15</f>
        <v/>
      </c>
    </row>
    <row r="19" ht="18" customHeight="1">
      <c r="B19" s="62" t="inlineStr">
        <is>
          <t>Small Electric</t>
        </is>
      </c>
      <c r="C19" s="63" t="n"/>
      <c r="D19" s="63" t="n"/>
      <c r="E19" s="63" t="n"/>
      <c r="F19" s="63" t="n"/>
      <c r="G19" s="41" t="n"/>
      <c r="H19" s="62" t="inlineStr">
        <is>
          <t>Medium Electric</t>
        </is>
      </c>
      <c r="I19" s="64" t="n"/>
      <c r="J19" s="64" t="n"/>
      <c r="K19" s="64" t="n"/>
      <c r="L19" s="64" t="n"/>
      <c r="M19" s="65" t="n"/>
      <c r="N19" s="62" t="inlineStr">
        <is>
          <t>Large Electric</t>
        </is>
      </c>
      <c r="O19" s="63" t="n"/>
      <c r="P19" s="63" t="n"/>
      <c r="Q19" s="63" t="n"/>
      <c r="R19" s="63" t="n"/>
      <c r="S19" s="41" t="n"/>
    </row>
    <row r="20" ht="31.2" customHeight="1">
      <c r="A20" s="66" t="inlineStr">
        <is>
          <t>Year</t>
        </is>
      </c>
      <c r="B20" s="66" t="inlineStr">
        <is>
          <t>Price</t>
        </is>
      </c>
      <c r="C20" s="66" t="inlineStr">
        <is>
          <t>Tax</t>
        </is>
      </c>
      <c r="D20" s="67" t="inlineStr">
        <is>
          <t>Annual service cost</t>
        </is>
      </c>
      <c r="E20" s="66" t="inlineStr">
        <is>
          <t>Electricity</t>
        </is>
      </c>
      <c r="F20" s="66" t="inlineStr">
        <is>
          <t>PV start</t>
        </is>
      </c>
      <c r="G20" s="66" t="inlineStr">
        <is>
          <t>PV mid</t>
        </is>
      </c>
      <c r="H20" s="66" t="inlineStr">
        <is>
          <t>Price</t>
        </is>
      </c>
      <c r="I20" s="66" t="inlineStr">
        <is>
          <t>Tax</t>
        </is>
      </c>
      <c r="J20" s="67" t="inlineStr">
        <is>
          <t>Annual service cost</t>
        </is>
      </c>
      <c r="K20" s="66" t="inlineStr">
        <is>
          <t>Electricity</t>
        </is>
      </c>
      <c r="L20" s="66" t="inlineStr">
        <is>
          <t>PV start</t>
        </is>
      </c>
      <c r="M20" s="66" t="inlineStr">
        <is>
          <t>PV mid</t>
        </is>
      </c>
      <c r="N20" s="66" t="inlineStr">
        <is>
          <t>Price</t>
        </is>
      </c>
      <c r="O20" s="66" t="inlineStr">
        <is>
          <t>Tax</t>
        </is>
      </c>
      <c r="P20" s="67" t="inlineStr">
        <is>
          <t>Annual service cost</t>
        </is>
      </c>
      <c r="Q20" s="66" t="inlineStr">
        <is>
          <t>Electricity</t>
        </is>
      </c>
      <c r="R20" s="66" t="inlineStr">
        <is>
          <t>PV start</t>
        </is>
      </c>
      <c r="S20" s="66" t="inlineStr">
        <is>
          <t>PV mid</t>
        </is>
      </c>
    </row>
    <row r="21">
      <c r="A21" s="42" t="n">
        <v>1</v>
      </c>
      <c r="B21" s="118">
        <f>INDEX(CarData,MATCH($B$19,HeaderCol,0),MATCH(B$20,Header,0))</f>
        <v/>
      </c>
      <c r="C21" s="114">
        <f>VLOOKUP(INDEX(CarData,MATCH($B$19,HeaderCol,0),MATCH("Weight",Header,0)),TaxWeight,3,TRUE)</f>
        <v/>
      </c>
      <c r="D21" s="114">
        <f>IF($A21&gt;=Parameters!$B$27,INDEX(CarData,MATCH($B$19,HeaderCol,0),MATCH(D$6,Header,0)),0)</f>
        <v/>
      </c>
      <c r="E21" s="114">
        <f>Parameters!$B$10/INDEX(CarData,MATCH($B$19,HeaderCol,0),MATCH("Range",Header,0))*INDEX(CarData,MATCH($B$19,HeaderCol,0),MATCH("Battery capacity",Header,0))*(Parameters!$C$23)</f>
        <v/>
      </c>
      <c r="F21" s="114">
        <f>(B21+C21)*(1+Parameters!$B$26)^-($A21-1)</f>
        <v/>
      </c>
      <c r="G21" s="114">
        <f>(D21+E21)*(1+Parameters!$B$26)^-($A21-0.5)</f>
        <v/>
      </c>
      <c r="H21" s="118">
        <f>INDEX(CarData,MATCH($H$19,HeaderCol,0),MATCH(H$6,Header,0))</f>
        <v/>
      </c>
      <c r="I21" s="114">
        <f>VLOOKUP(INDEX(CarData,MATCH($H$19,HeaderCol,0),MATCH("Weight",Header,0)),TaxWeight,3,TRUE)</f>
        <v/>
      </c>
      <c r="J21" s="114">
        <f>IF($A21&gt;=Parameters!$B$27,INDEX(CarData,MATCH($H$19,HeaderCol,0),MATCH(J$6,Header,0)),0)</f>
        <v/>
      </c>
      <c r="K21" s="114">
        <f>Parameters!$B$10/INDEX(CarData,MATCH($H$19,HeaderCol,0),MATCH("Range",Header,0))*INDEX(CarData,MATCH($H$19,HeaderCol,0),MATCH("Battery capacity",Header,0))*Parameters!$C$23</f>
        <v/>
      </c>
      <c r="L21" s="114">
        <f>(H21+I21)*(1+Parameters!$B$26)^-($A21-1)</f>
        <v/>
      </c>
      <c r="M21" s="114">
        <f>(J21+K21)*(1+Parameters!$B$26)^-($A21-0.5)</f>
        <v/>
      </c>
      <c r="N21" s="118">
        <f>INDEX(CarData,MATCH($N$19,HeaderCol,0),MATCH(N$6,Header,0))</f>
        <v/>
      </c>
      <c r="O21" s="114">
        <f>VLOOKUP(INDEX(CarData,MATCH($N$19,HeaderCol,0),MATCH("Weight",Header,0)),TaxWeight,3,TRUE)</f>
        <v/>
      </c>
      <c r="P21" s="114">
        <f>IF($A21&gt;=Parameters!$B$27,INDEX(CarData,MATCH($N$19,HeaderCol,0),MATCH(P$6,Header,0)),0)</f>
        <v/>
      </c>
      <c r="Q21" s="114">
        <f>Parameters!$B$10/INDEX(CarData,MATCH($N$19,HeaderCol,0),MATCH("Range",Header,0))*INDEX(CarData,MATCH($N$19,HeaderCol,0),MATCH("Battery capacity",Header,0))*Parameters!$C$23</f>
        <v/>
      </c>
      <c r="R21" s="114">
        <f>(N21+O21)*(1+Parameters!$B$26)^-($A21-1)</f>
        <v/>
      </c>
      <c r="S21" s="114">
        <f>(P21+Q21)*(1+Parameters!$B$26)^-($A21-0.5)</f>
        <v/>
      </c>
    </row>
    <row r="22">
      <c r="A22" s="42" t="n">
        <v>2</v>
      </c>
      <c r="B22" s="114" t="n"/>
      <c r="C22" s="114">
        <f>VLOOKUP(INDEX(CarData,MATCH($B$19,HeaderCol,0),MATCH("Weight",Header,0)),TaxWeight,3,TRUE)</f>
        <v/>
      </c>
      <c r="D22" s="114">
        <f>IF($A22&gt;=Parameters!$B$27,INDEX(CarData,MATCH($B$19,HeaderCol,0),MATCH(D$6,Header,0)),0)</f>
        <v/>
      </c>
      <c r="E22" s="114">
        <f>Parameters!$B$10/INDEX(CarData,MATCH($B$19,HeaderCol,0),MATCH("Range",Header,0))*INDEX(CarData,MATCH($B$19,HeaderCol,0),MATCH("Battery capacity",Header,0))*(Parameters!$C$23)</f>
        <v/>
      </c>
      <c r="F22" s="114">
        <f>(B22+C22)*(1+Parameters!$B$26)^-($A22-1)</f>
        <v/>
      </c>
      <c r="G22" s="114">
        <f>(D22+E22)*(1+Parameters!$B$26)^-($A22-0.5)</f>
        <v/>
      </c>
      <c r="H22" s="114" t="n"/>
      <c r="I22" s="114">
        <f>VLOOKUP(INDEX(CarData,MATCH($H$19,HeaderCol,0),MATCH("Weight",Header,0)),TaxWeight,3,TRUE)</f>
        <v/>
      </c>
      <c r="J22" s="114">
        <f>IF($A22&gt;=Parameters!$B$27,INDEX(CarData,MATCH($H$19,HeaderCol,0),MATCH(J$6,Header,0)),0)</f>
        <v/>
      </c>
      <c r="K22" s="114">
        <f>Parameters!$B$10/INDEX(CarData,MATCH($H$19,HeaderCol,0),MATCH("Range",Header,0))*INDEX(CarData,MATCH($H$19,HeaderCol,0),MATCH("Battery capacity",Header,0))*Parameters!$C$23</f>
        <v/>
      </c>
      <c r="L22" s="114">
        <f>(H22+I22)*(1+Parameters!$B$26)^-($A22-1)</f>
        <v/>
      </c>
      <c r="M22" s="114">
        <f>(J22+K22)*(1+Parameters!$B$26)^-($A22-0.5)</f>
        <v/>
      </c>
      <c r="N22" s="114" t="n"/>
      <c r="O22" s="114">
        <f>VLOOKUP(INDEX(CarData,MATCH($N$19,HeaderCol,0),MATCH("Weight",Header,0)),TaxWeight,3,TRUE)</f>
        <v/>
      </c>
      <c r="P22" s="114">
        <f>IF($A22&gt;=Parameters!$B$27,INDEX(CarData,MATCH($N$19,HeaderCol,0),MATCH(P$6,Header,0)),0)</f>
        <v/>
      </c>
      <c r="Q22" s="114">
        <f>Parameters!$B$10/INDEX(CarData,MATCH($N$19,HeaderCol,0),MATCH("Range",Header,0))*INDEX(CarData,MATCH($N$19,HeaderCol,0),MATCH("Battery capacity",Header,0))*Parameters!$C$23</f>
        <v/>
      </c>
      <c r="R22" s="114">
        <f>(N22+O22)*(1+Parameters!$B$26)^-($A22-1)</f>
        <v/>
      </c>
      <c r="S22" s="114">
        <f>(P22+Q22)*(1+Parameters!$B$26)^-($A22-0.5)</f>
        <v/>
      </c>
    </row>
    <row r="23">
      <c r="A23" s="42" t="n">
        <v>3</v>
      </c>
      <c r="B23" s="114" t="n"/>
      <c r="C23" s="114">
        <f>VLOOKUP(INDEX(CarData,MATCH($B$19,HeaderCol,0),MATCH("Weight",Header,0)),TaxWeight,3,TRUE)</f>
        <v/>
      </c>
      <c r="D23" s="114">
        <f>IF($A23&gt;=Parameters!$B$27,INDEX(CarData,MATCH($B$19,HeaderCol,0),MATCH(D$6,Header,0)),0)</f>
        <v/>
      </c>
      <c r="E23" s="114">
        <f>Parameters!$B$10/INDEX(CarData,MATCH($B$19,HeaderCol,0),MATCH("Range",Header,0))*INDEX(CarData,MATCH($B$19,HeaderCol,0),MATCH("Battery capacity",Header,0))*(Parameters!$C$23)</f>
        <v/>
      </c>
      <c r="F23" s="114">
        <f>(B23+C23)*(1+Parameters!$B$26)^-($A23-1)</f>
        <v/>
      </c>
      <c r="G23" s="114">
        <f>(D23+E23)*(1+Parameters!$B$26)^-($A23-0.5)</f>
        <v/>
      </c>
      <c r="H23" s="114" t="n"/>
      <c r="I23" s="114">
        <f>VLOOKUP(INDEX(CarData,MATCH($H$19,HeaderCol,0),MATCH("Weight",Header,0)),TaxWeight,3,TRUE)</f>
        <v/>
      </c>
      <c r="J23" s="114">
        <f>IF($A23&gt;=Parameters!$B$27,INDEX(CarData,MATCH($H$19,HeaderCol,0),MATCH(J$6,Header,0)),0)</f>
        <v/>
      </c>
      <c r="K23" s="114">
        <f>Parameters!$B$10/INDEX(CarData,MATCH($H$19,HeaderCol,0),MATCH("Range",Header,0))*INDEX(CarData,MATCH($H$19,HeaderCol,0),MATCH("Battery capacity",Header,0))*Parameters!$C$23</f>
        <v/>
      </c>
      <c r="L23" s="114">
        <f>(H23+I23)*(1+Parameters!$B$26)^-($A23-1)</f>
        <v/>
      </c>
      <c r="M23" s="114">
        <f>(J23+K23)*(1+Parameters!$B$26)^-($A23-0.5)</f>
        <v/>
      </c>
      <c r="N23" s="114" t="n"/>
      <c r="O23" s="114">
        <f>VLOOKUP(INDEX(CarData,MATCH($N$19,HeaderCol,0),MATCH("Weight",Header,0)),TaxWeight,3,TRUE)</f>
        <v/>
      </c>
      <c r="P23" s="114">
        <f>IF($A23&gt;=Parameters!$B$27,INDEX(CarData,MATCH($N$19,HeaderCol,0),MATCH(P$6,Header,0)),0)</f>
        <v/>
      </c>
      <c r="Q23" s="114">
        <f>Parameters!$B$10/INDEX(CarData,MATCH($N$19,HeaderCol,0),MATCH("Range",Header,0))*INDEX(CarData,MATCH($N$19,HeaderCol,0),MATCH("Battery capacity",Header,0))*Parameters!$C$23</f>
        <v/>
      </c>
      <c r="R23" s="114">
        <f>(N23+O23)*(1+Parameters!$B$26)^-($A23-1)</f>
        <v/>
      </c>
      <c r="S23" s="114">
        <f>(P23+Q23)*(1+Parameters!$B$26)^-($A23-0.5)</f>
        <v/>
      </c>
    </row>
    <row r="24">
      <c r="A24" s="42" t="n">
        <v>4</v>
      </c>
      <c r="B24" s="114" t="n"/>
      <c r="C24" s="114">
        <f>VLOOKUP(INDEX(CarData,MATCH($B$19,HeaderCol,0),MATCH("Weight",Header,0)),TaxWeight,3,TRUE)</f>
        <v/>
      </c>
      <c r="D24" s="114">
        <f>IF($A24&gt;=Parameters!$B$27,INDEX(CarData,MATCH($B$19,HeaderCol,0),MATCH(D$6,Header,0)),0)</f>
        <v/>
      </c>
      <c r="E24" s="114">
        <f>Parameters!$B$10/INDEX(CarData,MATCH($B$19,HeaderCol,0),MATCH("Range",Header,0))*INDEX(CarData,MATCH($B$19,HeaderCol,0),MATCH("Battery capacity",Header,0))*(Parameters!$C$23)</f>
        <v/>
      </c>
      <c r="F24" s="114">
        <f>(B24+C24)*(1+Parameters!$B$26)^-($A24-1)</f>
        <v/>
      </c>
      <c r="G24" s="114">
        <f>(D24+E24)*(1+Parameters!$B$26)^-($A24-0.5)</f>
        <v/>
      </c>
      <c r="H24" s="114" t="n"/>
      <c r="I24" s="114">
        <f>VLOOKUP(INDEX(CarData,MATCH($H$19,HeaderCol,0),MATCH("Weight",Header,0)),TaxWeight,3,TRUE)</f>
        <v/>
      </c>
      <c r="J24" s="114">
        <f>IF($A24&gt;=Parameters!$B$27,INDEX(CarData,MATCH($H$19,HeaderCol,0),MATCH(J$6,Header,0)),0)</f>
        <v/>
      </c>
      <c r="K24" s="114">
        <f>Parameters!$B$10/INDEX(CarData,MATCH($H$19,HeaderCol,0),MATCH("Range",Header,0))*INDEX(CarData,MATCH($H$19,HeaderCol,0),MATCH("Battery capacity",Header,0))*Parameters!$C$23</f>
        <v/>
      </c>
      <c r="L24" s="114">
        <f>(H24+I24)*(1+Parameters!$B$26)^-($A24-1)</f>
        <v/>
      </c>
      <c r="M24" s="114">
        <f>(J24+K24)*(1+Parameters!$B$26)^-($A24-0.5)</f>
        <v/>
      </c>
      <c r="N24" s="114" t="n"/>
      <c r="O24" s="114">
        <f>VLOOKUP(INDEX(CarData,MATCH($N$19,HeaderCol,0),MATCH("Weight",Header,0)),TaxWeight,3,TRUE)</f>
        <v/>
      </c>
      <c r="P24" s="114">
        <f>IF($A24&gt;=Parameters!$B$27,INDEX(CarData,MATCH($N$19,HeaderCol,0),MATCH(P$6,Header,0)),0)</f>
        <v/>
      </c>
      <c r="Q24" s="114">
        <f>Parameters!$B$10/INDEX(CarData,MATCH($N$19,HeaderCol,0),MATCH("Range",Header,0))*INDEX(CarData,MATCH($N$19,HeaderCol,0),MATCH("Battery capacity",Header,0))*Parameters!$C$23</f>
        <v/>
      </c>
      <c r="R24" s="114">
        <f>(N24+O24)*(1+Parameters!$B$26)^-($A24-1)</f>
        <v/>
      </c>
      <c r="S24" s="114">
        <f>(P24+Q24)*(1+Parameters!$B$26)^-($A24-0.5)</f>
        <v/>
      </c>
    </row>
    <row r="25">
      <c r="A25" s="42" t="n">
        <v>5</v>
      </c>
      <c r="B25" s="114" t="n"/>
      <c r="C25" s="114">
        <f>VLOOKUP(INDEX(CarData,MATCH($B$19,HeaderCol,0),MATCH("Weight",Header,0)),TaxWeight,3,TRUE)</f>
        <v/>
      </c>
      <c r="D25" s="114">
        <f>IF($A25&gt;=Parameters!$B$27,INDEX(CarData,MATCH($B$19,HeaderCol,0),MATCH(D$6,Header,0)),0)</f>
        <v/>
      </c>
      <c r="E25" s="114">
        <f>Parameters!$B$10/INDEX(CarData,MATCH($B$19,HeaderCol,0),MATCH("Range",Header,0))*INDEX(CarData,MATCH($B$19,HeaderCol,0),MATCH("Battery capacity",Header,0))*(Parameters!$C$23)</f>
        <v/>
      </c>
      <c r="F25" s="114">
        <f>(B25+C25)*(1+Parameters!$B$26)^-($A25-1)</f>
        <v/>
      </c>
      <c r="G25" s="114">
        <f>(D25+E25)*(1+Parameters!$B$26)^-($A25-0.5)</f>
        <v/>
      </c>
      <c r="H25" s="114" t="n"/>
      <c r="I25" s="114">
        <f>VLOOKUP(INDEX(CarData,MATCH($H$19,HeaderCol,0),MATCH("Weight",Header,0)),TaxWeight,3,TRUE)</f>
        <v/>
      </c>
      <c r="J25" s="114">
        <f>IF($A25&gt;=Parameters!$B$27,INDEX(CarData,MATCH($H$19,HeaderCol,0),MATCH(J$6,Header,0)),0)</f>
        <v/>
      </c>
      <c r="K25" s="114">
        <f>Parameters!$B$10/INDEX(CarData,MATCH($H$19,HeaderCol,0),MATCH("Range",Header,0))*INDEX(CarData,MATCH($H$19,HeaderCol,0),MATCH("Battery capacity",Header,0))*Parameters!$C$23</f>
        <v/>
      </c>
      <c r="L25" s="114">
        <f>(H25+I25)*(1+Parameters!$B$26)^-($A25-1)</f>
        <v/>
      </c>
      <c r="M25" s="114">
        <f>(J25+K25)*(1+Parameters!$B$26)^-($A25-0.5)</f>
        <v/>
      </c>
      <c r="N25" s="114" t="n"/>
      <c r="O25" s="114">
        <f>VLOOKUP(INDEX(CarData,MATCH($N$19,HeaderCol,0),MATCH("Weight",Header,0)),TaxWeight,3,TRUE)</f>
        <v/>
      </c>
      <c r="P25" s="114">
        <f>IF($A25&gt;=Parameters!$B$27,INDEX(CarData,MATCH($N$19,HeaderCol,0),MATCH(P$6,Header,0)),0)</f>
        <v/>
      </c>
      <c r="Q25" s="114">
        <f>Parameters!$B$10/INDEX(CarData,MATCH($N$19,HeaderCol,0),MATCH("Range",Header,0))*INDEX(CarData,MATCH($N$19,HeaderCol,0),MATCH("Battery capacity",Header,0))*Parameters!$C$23</f>
        <v/>
      </c>
      <c r="R25" s="114">
        <f>(N25+O25)*(1+Parameters!$B$26)^-($A25-1)</f>
        <v/>
      </c>
      <c r="S25" s="114">
        <f>(P25+Q25)*(1+Parameters!$B$26)^-($A25-0.5)</f>
        <v/>
      </c>
    </row>
    <row r="26">
      <c r="A26" s="69" t="n"/>
      <c r="B26" s="70" t="n"/>
      <c r="C26" s="71" t="n"/>
      <c r="D26" s="71" t="n"/>
      <c r="E26" s="71" t="n"/>
      <c r="F26" s="71" t="n"/>
      <c r="G26" s="72" t="n"/>
      <c r="H26" s="70" t="n"/>
      <c r="I26" s="71" t="n"/>
      <c r="J26" s="71" t="n"/>
      <c r="K26" s="71" t="n"/>
      <c r="L26" s="71" t="n"/>
      <c r="M26" s="72" t="n"/>
      <c r="N26" s="70" t="n"/>
      <c r="O26" s="71" t="n"/>
      <c r="P26" s="71" t="n"/>
      <c r="Q26" s="71" t="n"/>
      <c r="R26" s="71" t="n"/>
      <c r="S26" s="72" t="n"/>
    </row>
    <row r="27">
      <c r="A27" s="73" t="inlineStr">
        <is>
          <t>Price of Car</t>
        </is>
      </c>
      <c r="B27" s="74" t="n"/>
      <c r="G27" s="119">
        <f>B21</f>
        <v/>
      </c>
      <c r="H27" s="74" t="n"/>
      <c r="M27" s="119">
        <f>H21</f>
        <v/>
      </c>
      <c r="N27" s="74" t="n"/>
      <c r="S27" s="119">
        <f>N21</f>
        <v/>
      </c>
    </row>
    <row r="28" ht="31.2" customHeight="1">
      <c r="A28" s="76" t="inlineStr">
        <is>
          <t>PV Total cost of ownership</t>
        </is>
      </c>
      <c r="B28" s="74" t="n"/>
      <c r="G28" s="120">
        <f>SUM(F21:G25)</f>
        <v/>
      </c>
      <c r="H28" s="74" t="n"/>
      <c r="M28" s="120">
        <f>SUM(L21:M25)</f>
        <v/>
      </c>
      <c r="N28" s="74" t="n"/>
      <c r="S28" s="120">
        <f>SUM(R21:S25)</f>
        <v/>
      </c>
    </row>
    <row r="29">
      <c r="A29" s="76" t="inlineStr">
        <is>
          <t>Profit</t>
        </is>
      </c>
      <c r="B29" s="74" t="n"/>
      <c r="G29" s="120">
        <f>INDEX(CarData,MATCH($B$19,HeaderCol,0),MATCH("Profit Margin",Header,0))*G27</f>
        <v/>
      </c>
      <c r="H29" s="74" t="n"/>
      <c r="M29" s="120">
        <f>INDEX(CarData,MATCH($H$19,HeaderCol,0),MATCH("Profit Margin",Header,0))*M27</f>
        <v/>
      </c>
      <c r="N29" s="74" t="n"/>
      <c r="S29" s="120">
        <f>INDEX(CarData,MATCH($N$19,HeaderCol,0),MATCH("Profit Margin",Header,0))*S27</f>
        <v/>
      </c>
    </row>
    <row r="30" ht="31.2" customHeight="1">
      <c r="A30" s="83" t="inlineStr">
        <is>
          <t>Manufacturing costs</t>
        </is>
      </c>
      <c r="B30" s="78" t="n"/>
      <c r="C30" s="79" t="n"/>
      <c r="D30" s="79" t="n"/>
      <c r="E30" s="79" t="n"/>
      <c r="F30" s="79" t="n"/>
      <c r="G30" s="121">
        <f>G27-G29</f>
        <v/>
      </c>
      <c r="H30" s="78" t="n"/>
      <c r="I30" s="79" t="n"/>
      <c r="J30" s="79" t="n"/>
      <c r="K30" s="79" t="n"/>
      <c r="L30" s="79" t="n"/>
      <c r="M30" s="121">
        <f>M27-M29</f>
        <v/>
      </c>
      <c r="N30" s="78" t="n"/>
      <c r="O30" s="79" t="n"/>
      <c r="P30" s="79" t="n"/>
      <c r="Q30" s="79" t="n"/>
      <c r="R30" s="79" t="n"/>
      <c r="S30" s="121">
        <f>S27-S29</f>
        <v/>
      </c>
    </row>
  </sheetData>
  <printOptions gridLines="1" gridLinesSet="0"/>
  <pageMargins left="0.7" right="0.7" top="0.75" bottom="0.75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1.19921875" defaultRowHeight="15.6"/>
  <cols>
    <col width="23.69921875" customWidth="1" min="1" max="1"/>
    <col width="11.19921875" bestFit="1" customWidth="1" min="2" max="2"/>
    <col width="14.19921875" bestFit="1" customWidth="1" min="3" max="3"/>
    <col width="16.19921875" bestFit="1" customWidth="1" min="4" max="4"/>
    <col width="16.296875" bestFit="1" customWidth="1" min="5" max="5"/>
    <col width="15" bestFit="1" customWidth="1" min="6" max="6"/>
  </cols>
  <sheetData>
    <row r="1" ht="18" customHeight="1">
      <c r="A1" s="1" t="inlineStr">
        <is>
          <t>Profit calculations</t>
        </is>
      </c>
    </row>
    <row r="3" ht="31.2" customHeight="1">
      <c r="B3" s="2" t="inlineStr">
        <is>
          <t>Sales</t>
        </is>
      </c>
      <c r="C3" s="2" t="inlineStr">
        <is>
          <t>Profit</t>
        </is>
      </c>
      <c r="D3" s="2" t="inlineStr">
        <is>
          <t>Revenue</t>
        </is>
      </c>
      <c r="E3" s="2" t="inlineStr">
        <is>
          <t>Cost of Ownership</t>
        </is>
      </c>
      <c r="F3" s="122" t="inlineStr">
        <is>
          <t>Manufacturing costs</t>
        </is>
      </c>
      <c r="G3" s="2" t="n"/>
    </row>
    <row r="4">
      <c r="A4" t="inlineStr">
        <is>
          <t>Small Petrol</t>
        </is>
      </c>
      <c r="B4" s="102">
        <f>INDEX(Data!N:N,MATCH($A4,Data!A:A,0))</f>
        <v/>
      </c>
      <c r="C4" s="102">
        <f>$B4*'Calculations-Weight'!G15</f>
        <v/>
      </c>
      <c r="D4" s="102">
        <f>$B4*'Calculations-Weight'!G13</f>
        <v/>
      </c>
      <c r="E4" s="102">
        <f>$B4*'Calculations-Weight'!G14</f>
        <v/>
      </c>
      <c r="F4" s="123">
        <f>$B4*'Calculations-Weight'!$G16</f>
        <v/>
      </c>
      <c r="G4" s="124" t="n"/>
    </row>
    <row r="5">
      <c r="A5" t="inlineStr">
        <is>
          <t>Medium Petrol</t>
        </is>
      </c>
      <c r="B5" s="102">
        <f>INDEX(Data!N:N,MATCH($A5,Data!A:A,0))</f>
        <v/>
      </c>
      <c r="C5" s="102">
        <f>$B5*'Calculations-Weight'!M15</f>
        <v/>
      </c>
      <c r="D5" s="102">
        <f>$B5*'Calculations-Weight'!M13</f>
        <v/>
      </c>
      <c r="E5" s="102">
        <f>$B5*'Calculations-Weight'!M14</f>
        <v/>
      </c>
      <c r="F5" s="123">
        <f>$B5*'Calculations-Weight'!$M16</f>
        <v/>
      </c>
    </row>
    <row r="6">
      <c r="A6" t="inlineStr">
        <is>
          <t>Large Petrol</t>
        </is>
      </c>
      <c r="B6" s="102">
        <f>INDEX(Data!N:N,MATCH($A6,Data!A:A,0))</f>
        <v/>
      </c>
      <c r="C6" s="102">
        <f>$B6*'Calculations-Weight'!S15</f>
        <v/>
      </c>
      <c r="D6" s="102">
        <f>$B6*'Calculations-Weight'!S13</f>
        <v/>
      </c>
      <c r="E6" s="102">
        <f>$B6*'Calculations-Weight'!S14</f>
        <v/>
      </c>
      <c r="F6" s="123">
        <f>$B6*'Calculations-Weight'!S16</f>
        <v/>
      </c>
    </row>
    <row r="7">
      <c r="A7" t="inlineStr">
        <is>
          <t>Small Electric</t>
        </is>
      </c>
      <c r="B7" s="102">
        <f>INDEX(Data!N:N,MATCH($A7,Data!A:A,0))</f>
        <v/>
      </c>
      <c r="C7" s="102">
        <f>$B7*'Calculations-Weight'!G29</f>
        <v/>
      </c>
      <c r="D7" s="102">
        <f>$B7*'Calculations-Weight'!G27</f>
        <v/>
      </c>
      <c r="E7" s="102">
        <f>$B7*'Calculations-Weight'!G28</f>
        <v/>
      </c>
      <c r="F7" s="123">
        <f>$B7*'Calculations-Weight'!$G30</f>
        <v/>
      </c>
    </row>
    <row r="8">
      <c r="A8" t="inlineStr">
        <is>
          <t>Medium Electric</t>
        </is>
      </c>
      <c r="B8" s="102">
        <f>INDEX(Data!N:N,MATCH($A8,Data!A:A,0))</f>
        <v/>
      </c>
      <c r="C8" s="102">
        <f>$B8*'Calculations-Weight'!M29</f>
        <v/>
      </c>
      <c r="D8" s="102">
        <f>$B8*'Calculations-Weight'!M27</f>
        <v/>
      </c>
      <c r="E8" s="102">
        <f>$B8*'Calculations-Weight'!M28</f>
        <v/>
      </c>
      <c r="F8" s="123">
        <f>$B8*'Calculations-Weight'!$M30</f>
        <v/>
      </c>
    </row>
    <row r="9">
      <c r="A9" t="inlineStr">
        <is>
          <t>Large Electric</t>
        </is>
      </c>
      <c r="B9" s="102">
        <f>INDEX(Data!N:N,MATCH($A9,Data!A:A,0))</f>
        <v/>
      </c>
      <c r="C9" s="102">
        <f>$B9*'Calculations-Weight'!S29</f>
        <v/>
      </c>
      <c r="D9" s="102">
        <f>$B9*'Calculations-Weight'!S27</f>
        <v/>
      </c>
      <c r="E9" s="102">
        <f>$B9*'Calculations-Weight'!S28</f>
        <v/>
      </c>
      <c r="F9" s="123">
        <f>$B9*'Calculations-Weight'!$S30</f>
        <v/>
      </c>
    </row>
    <row r="10">
      <c r="B10" s="102" t="n"/>
      <c r="C10" s="102" t="n"/>
      <c r="D10" s="102" t="n"/>
      <c r="E10" s="102" t="n"/>
    </row>
    <row r="11">
      <c r="A11" t="inlineStr">
        <is>
          <t>Total</t>
        </is>
      </c>
      <c r="B11" s="102">
        <f>SUM(B4:B10)</f>
        <v/>
      </c>
      <c r="C11" s="102">
        <f>SUM(C4:C10)</f>
        <v/>
      </c>
      <c r="D11" s="102">
        <f>SUM(D4:D10)</f>
        <v/>
      </c>
      <c r="E11" s="102">
        <f>SUM(E4:E10)</f>
        <v/>
      </c>
      <c r="F11" s="102">
        <f>SUM(F4:F10)</f>
        <v/>
      </c>
    </row>
    <row r="13">
      <c r="A13" t="inlineStr">
        <is>
          <t xml:space="preserve">Check totals don't change: </t>
        </is>
      </c>
      <c r="B13">
        <f>IF(B11='Total profit-Base'!B11,"OK","Check")</f>
        <v/>
      </c>
      <c r="C13">
        <f>IF(C11='Total profit-Base'!C11,"OK","Check")</f>
        <v/>
      </c>
      <c r="D13">
        <f>IF(D11='Total profit-Base'!D11,"OK","Check")</f>
        <v/>
      </c>
      <c r="F13">
        <f>IF(F11='Total profit-Base'!F11,"OK","Check")</f>
        <v/>
      </c>
    </row>
  </sheetData>
  <printOptions gridLines="1" gridLinesSet="0"/>
  <pageMargins left="0.7" right="0.7" top="0.75" bottom="0.75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calculations</t>
        </is>
      </c>
    </row>
    <row r="2">
      <c r="A2" t="inlineStr">
        <is>
          <t>Adjustment factor A (Proposal 2):</t>
        </is>
      </c>
      <c r="B2" t="n">
        <v>0.9728605206216414</v>
      </c>
    </row>
    <row r="4">
      <c r="A4" t="inlineStr">
        <is>
          <t>Proposal 1 (Price reduced by increase in cost of ownership)</t>
        </is>
      </c>
    </row>
    <row r="5">
      <c r="A5" s="125" t="inlineStr">
        <is>
          <t>Model</t>
        </is>
      </c>
      <c r="B5" s="125" t="inlineStr">
        <is>
          <t>New Price</t>
        </is>
      </c>
      <c r="C5" s="125" t="inlineStr">
        <is>
          <t>New Profit Per Car</t>
        </is>
      </c>
      <c r="D5" s="125" t="inlineStr">
        <is>
          <t>New Profit Margin</t>
        </is>
      </c>
      <c r="E5" s="125" t="inlineStr">
        <is>
          <t>Expected Annual Profit</t>
        </is>
      </c>
      <c r="F5" s="125" t="inlineStr">
        <is>
          <t>New Cost of Ownership (per car)</t>
        </is>
      </c>
    </row>
    <row r="6">
      <c r="A6" t="inlineStr">
        <is>
          <t>Small Petrol</t>
        </is>
      </c>
      <c r="B6" t="n">
        <v>27905.51571636147</v>
      </c>
      <c r="C6" t="n">
        <v>878.0157163614749</v>
      </c>
      <c r="D6" t="n">
        <v>0.031463877080282</v>
      </c>
      <c r="E6" t="n">
        <v>22448227.82021383</v>
      </c>
      <c r="F6" t="n">
        <v>36259.54809778956</v>
      </c>
    </row>
    <row r="7">
      <c r="A7" t="inlineStr">
        <is>
          <t>Medium Petrol</t>
        </is>
      </c>
      <c r="B7" t="n">
        <v>36603.01047757431</v>
      </c>
      <c r="C7" t="n">
        <v>2317.630477574312</v>
      </c>
      <c r="D7" t="n">
        <v>0.0633180289636084</v>
      </c>
      <c r="E7" t="n">
        <v>4387274.494048173</v>
      </c>
      <c r="F7" t="n">
        <v>46370.48555787583</v>
      </c>
    </row>
    <row r="8">
      <c r="A8" t="inlineStr">
        <is>
          <t>Large Petrol</t>
        </is>
      </c>
      <c r="B8" t="n">
        <v>64496.03143272291</v>
      </c>
      <c r="C8" t="n">
        <v>6125.381432722905</v>
      </c>
      <c r="D8" t="n">
        <v>0.09497299751089976</v>
      </c>
      <c r="E8" t="n">
        <v>11246200.31047925</v>
      </c>
      <c r="F8" t="n">
        <v>76248.72033744652</v>
      </c>
    </row>
    <row r="9">
      <c r="A9" t="inlineStr">
        <is>
          <t>Small Electric</t>
        </is>
      </c>
      <c r="B9" t="n">
        <v>38875.68802027282</v>
      </c>
      <c r="C9" t="n">
        <v>3751.838020272822</v>
      </c>
      <c r="D9" t="n">
        <v>0.09650859473705831</v>
      </c>
      <c r="E9" t="n">
        <v>41817986.57396088</v>
      </c>
      <c r="F9" t="n">
        <v>44114.07060240889</v>
      </c>
    </row>
    <row r="10">
      <c r="A10" t="inlineStr">
        <is>
          <t>Medium Electric</t>
        </is>
      </c>
      <c r="B10" t="n">
        <v>45933.44104298198</v>
      </c>
      <c r="C10" t="n">
        <v>4803.941042981976</v>
      </c>
      <c r="D10" t="n">
        <v>0.1045848282624137</v>
      </c>
      <c r="E10" t="n">
        <v>30221593.10139961</v>
      </c>
      <c r="F10" t="n">
        <v>53045.20836239643</v>
      </c>
    </row>
    <row r="11">
      <c r="A11" t="inlineStr">
        <is>
          <t>Large Electric</t>
        </is>
      </c>
      <c r="B11" t="n">
        <v>64335.98649688319</v>
      </c>
      <c r="C11" t="n">
        <v>7892.106496883185</v>
      </c>
      <c r="D11" t="n">
        <v>0.1226701714951635</v>
      </c>
      <c r="E11" t="n">
        <v>30368825.8000065</v>
      </c>
      <c r="F11" t="n">
        <v>75065.8089713853</v>
      </c>
    </row>
    <row r="12">
      <c r="A12" t="inlineStr">
        <is>
          <t>Total Expected Profit</t>
        </is>
      </c>
      <c r="B12" t="n">
        <v>140490108.1001082</v>
      </c>
    </row>
    <row r="14">
      <c r="A14" t="inlineStr">
        <is>
          <t>Proposal 2 (Constant adjustment factor A)</t>
        </is>
      </c>
    </row>
    <row r="15">
      <c r="A15" s="125" t="inlineStr">
        <is>
          <t>Model</t>
        </is>
      </c>
      <c r="B15" s="125" t="inlineStr">
        <is>
          <t>New Price</t>
        </is>
      </c>
      <c r="C15" s="125" t="inlineStr">
        <is>
          <t>New Profit Per Car</t>
        </is>
      </c>
      <c r="D15" s="125" t="inlineStr">
        <is>
          <t>New Profit Margin</t>
        </is>
      </c>
      <c r="E15" s="125" t="inlineStr">
        <is>
          <t>Expected Annual Profit</t>
        </is>
      </c>
      <c r="F15" s="125" t="inlineStr">
        <is>
          <t>New Cost of Ownership (per car)</t>
        </is>
      </c>
    </row>
    <row r="16">
      <c r="A16" t="inlineStr">
        <is>
          <t>Small Petrol</t>
        </is>
      </c>
      <c r="B16" t="n">
        <v>27677.8818116857</v>
      </c>
      <c r="C16" t="n">
        <v>650.3818116856964</v>
      </c>
      <c r="D16" t="n">
        <v>0.02349825091785395</v>
      </c>
      <c r="E16" t="n">
        <v>16628311.7793682</v>
      </c>
      <c r="F16" t="n">
        <v>36031.91419311379</v>
      </c>
    </row>
    <row r="17">
      <c r="A17" t="inlineStr">
        <is>
          <t>Medium Petrol</t>
        </is>
      </c>
      <c r="B17" t="n">
        <v>35865.47595323743</v>
      </c>
      <c r="C17" t="n">
        <v>1580.095953237433</v>
      </c>
      <c r="D17" t="n">
        <v>0.04405618247747815</v>
      </c>
      <c r="E17" t="n">
        <v>2991121.63947846</v>
      </c>
      <c r="F17" t="n">
        <v>45632.95103353895</v>
      </c>
    </row>
    <row r="18">
      <c r="A18" t="inlineStr">
        <is>
          <t>Large Petrol</t>
        </is>
      </c>
      <c r="B18" t="n">
        <v>63805.05724497035</v>
      </c>
      <c r="C18" t="n">
        <v>5434.407244970353</v>
      </c>
      <c r="D18" t="n">
        <v>0.08517204559672639</v>
      </c>
      <c r="E18" t="n">
        <v>9977571.701765567</v>
      </c>
      <c r="F18" t="n">
        <v>75557.74614969396</v>
      </c>
    </row>
    <row r="19">
      <c r="A19" t="inlineStr">
        <is>
          <t>Small Electric</t>
        </is>
      </c>
      <c r="B19" t="n">
        <v>38393.94044633308</v>
      </c>
      <c r="C19" t="n">
        <v>3270.090446333081</v>
      </c>
      <c r="D19" t="n">
        <v>0.08517204559672645</v>
      </c>
      <c r="E19" t="n">
        <v>36448428.11482852</v>
      </c>
      <c r="F19" t="n">
        <v>43632.32302846915</v>
      </c>
    </row>
    <row r="20">
      <c r="A20" t="inlineStr">
        <is>
          <t>Medium Electric</t>
        </is>
      </c>
      <c r="B20" t="n">
        <v>46527.05439873</v>
      </c>
      <c r="C20" t="n">
        <v>5397.554398729997</v>
      </c>
      <c r="D20" t="n">
        <v>0.1160089429361625</v>
      </c>
      <c r="E20" t="n">
        <v>33956014.72241041</v>
      </c>
      <c r="F20" t="n">
        <v>53638.82171814445</v>
      </c>
    </row>
    <row r="21">
      <c r="A21" t="inlineStr">
        <is>
          <t>Large Electric</t>
        </is>
      </c>
      <c r="B21" t="n">
        <v>66965.88107647006</v>
      </c>
      <c r="C21" t="n">
        <v>10522.00107647006</v>
      </c>
      <c r="D21" t="n">
        <v>0.1571248060554107</v>
      </c>
      <c r="E21" t="n">
        <v>40488660.14225677</v>
      </c>
      <c r="F21" t="n">
        <v>77695.70355097216</v>
      </c>
    </row>
    <row r="22">
      <c r="A22" t="inlineStr">
        <is>
          <t>Total Expected Profit</t>
        </is>
      </c>
      <c r="B22" t="n">
        <v>140490108.1001079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2026-02-21T07:47:37Z</dcterms:created>
  <dcterms:modified xsi:type="dcterms:W3CDTF">2026-02-21T07:47:37Z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347b247-e90e-43a3-9d7b-004f14ae6873_Enabled" fmtid="{D5CDD505-2E9C-101B-9397-08002B2CF9AE}" pid="2">
    <vt:lpwstr>true</vt:lpwstr>
  </property>
  <property name="MSIP_Label_d347b247-e90e-43a3-9d7b-004f14ae6873_SetDate" fmtid="{D5CDD505-2E9C-101B-9397-08002B2CF9AE}" pid="3">
    <vt:lpwstr>2025-02-12T18:41:54Z</vt:lpwstr>
  </property>
  <property name="MSIP_Label_d347b247-e90e-43a3-9d7b-004f14ae6873_Method" fmtid="{D5CDD505-2E9C-101B-9397-08002B2CF9AE}" pid="4">
    <vt:lpwstr>Standard</vt:lpwstr>
  </property>
  <property name="MSIP_Label_d347b247-e90e-43a3-9d7b-004f14ae6873_Name" fmtid="{D5CDD505-2E9C-101B-9397-08002B2CF9AE}" pid="5">
    <vt:lpwstr>d347b247-e90e-43a3-9d7b-004f14ae6873</vt:lpwstr>
  </property>
  <property name="MSIP_Label_d347b247-e90e-43a3-9d7b-004f14ae6873_SiteId" fmtid="{D5CDD505-2E9C-101B-9397-08002B2CF9AE}" pid="6">
    <vt:lpwstr>76e3921f-489b-4b7e-9547-9ea297add9b5</vt:lpwstr>
  </property>
  <property name="MSIP_Label_d347b247-e90e-43a3-9d7b-004f14ae6873_ActionId" fmtid="{D5CDD505-2E9C-101B-9397-08002B2CF9AE}" pid="7">
    <vt:lpwstr>bd1ba931-df1a-4515-91d4-cc9eab9540ec</vt:lpwstr>
  </property>
  <property name="MSIP_Label_d347b247-e90e-43a3-9d7b-004f14ae6873_ContentBits" fmtid="{D5CDD505-2E9C-101B-9397-08002B2CF9AE}" pid="8">
    <vt:lpwstr>0</vt:lpwstr>
  </property>
  <property name="ContentTypeId" fmtid="{D5CDD505-2E9C-101B-9397-08002B2CF9AE}" pid="9">
    <vt:lpwstr>0x01010027FBD0687CCFA64A90892C425F7C4312</vt:lpwstr>
  </property>
</Properties>
</file>